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Dashboard" sheetId="3" state="visible" r:id="rId3"/>
  </sheets>
  <definedNames>
    <definedName name="_xlnm._FilterDatabase" localSheetId="0" hidden="1">'Pipeline'!$A$1:$L$1</definedName>
    <definedName name="_xlnm._FilterDatabase" localSheetId="1" hidden="1">'Clients'!$A$1:$I$1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F172A"/>
      <sz val="16"/>
    </font>
    <font>
      <i val="1"/>
      <color rgb="0064748B"/>
      <sz val="10"/>
    </font>
    <font>
      <b val="1"/>
      <color rgb="000F172A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D7AA"/>
      </patternFill>
    </fill>
    <fill>
      <patternFill patternType="solid">
        <fgColor rgb="00DDD6FE"/>
      </patternFill>
    </fill>
    <fill>
      <patternFill patternType="solid">
        <fgColor rgb="00E2E8F0"/>
      </patternFill>
    </fill>
    <fill>
      <patternFill patternType="solid">
        <fgColor rgb="00F1F5F9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BBF7D0"/>
      </patternFill>
    </fill>
    <fill>
      <patternFill patternType="solid">
        <fgColor rgb="00FECA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1" pivotButton="0" quotePrefix="0" xfId="0"/>
    <xf numFmtId="0" fontId="0" fillId="0" borderId="1" pivotButton="0" quotePrefix="0" xfId="0"/>
    <xf numFmtId="0" fontId="2" fillId="5" borderId="1" pivotButton="0" quotePrefix="0" xfId="0"/>
    <xf numFmtId="0" fontId="2" fillId="0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3" borderId="1" pivotButton="0" quotePrefix="0" xfId="0"/>
    <xf numFmtId="166" fontId="2" fillId="0" borderId="1" pivotButton="0" quotePrefix="0" xfId="0"/>
    <xf numFmtId="0" fontId="2" fillId="4" borderId="1" pivotButton="0" quotePrefix="0" xfId="0"/>
    <xf numFmtId="164" fontId="2" fillId="0" borderId="1" pivotButton="0" quotePrefix="0" xfId="0"/>
    <xf numFmtId="0" fontId="2" fillId="9" borderId="1" pivotButton="0" quotePrefix="0" xfId="0"/>
    <xf numFmtId="0" fontId="2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30" customWidth="1" min="5" max="5"/>
    <col width="14" customWidth="1" min="6" max="6"/>
    <col width="13" customWidth="1" min="7" max="7"/>
    <col width="46" customWidth="1" min="8" max="8"/>
    <col width="34" customWidth="1" min="9" max="9"/>
    <col width="16" customWidth="1" min="10" max="10"/>
    <col width="9" customWidth="1" min="11" max="11"/>
    <col width="60" customWidth="1" min="12" max="12"/>
  </cols>
  <sheetData>
    <row r="1" ht="24" customHeight="1">
      <c r="A1" s="1" t="inlineStr">
        <is>
          <t>Business</t>
        </is>
      </c>
      <c r="B1" s="1" t="inlineStr">
        <is>
          <t>Trade</t>
        </is>
      </c>
      <c r="C1" s="1" t="inlineStr">
        <is>
          <t>City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Lead Source</t>
        </is>
      </c>
      <c r="G1" s="1" t="inlineStr">
        <is>
          <t>Status</t>
        </is>
      </c>
      <c r="H1" s="1" t="inlineStr">
        <is>
          <t>Demo URL</t>
        </is>
      </c>
      <c r="I1" s="1" t="inlineStr">
        <is>
          <t>Next Action</t>
        </is>
      </c>
      <c r="J1" s="1" t="inlineStr">
        <is>
          <t>Next Action Date</t>
        </is>
      </c>
      <c r="K1" s="1" t="inlineStr">
        <is>
          <t>Deal $</t>
        </is>
      </c>
      <c r="L1" s="1" t="inlineStr">
        <is>
          <t>Notes</t>
        </is>
      </c>
    </row>
    <row r="2">
      <c r="A2" s="2" t="inlineStr">
        <is>
          <t>Avalanche Roofing Services LLC</t>
        </is>
      </c>
      <c r="B2" s="3" t="inlineStr">
        <is>
          <t>Roofing</t>
        </is>
      </c>
      <c r="C2" s="3" t="inlineStr">
        <is>
          <t>West Valley City</t>
        </is>
      </c>
      <c r="D2" s="3" t="inlineStr">
        <is>
          <t>(801) 599-1805</t>
        </is>
      </c>
      <c r="E2" s="3" t="inlineStr">
        <is>
          <t>Avalancheroofingslc@yahoo.com</t>
        </is>
      </c>
      <c r="F2" s="3" t="inlineStr">
        <is>
          <t>Qualified list</t>
        </is>
      </c>
      <c r="G2" s="4" t="inlineStr">
        <is>
          <t>Building</t>
        </is>
      </c>
      <c r="H2" s="3" t="inlineStr">
        <is>
          <t>https://consciousmirage.github.io/forge-demos/avalanche-roofing-v3/</t>
        </is>
      </c>
      <c r="I2" s="2" t="inlineStr">
        <is>
          <t>Finish full build, confirm address + reviews w/ owner</t>
        </is>
      </c>
      <c r="J2" s="5" t="inlineStr">
        <is>
          <t>2026-06-20</t>
        </is>
      </c>
      <c r="K2" s="6" t="n">
        <v>1200</v>
      </c>
      <c r="L2" s="2" t="inlineStr">
        <is>
          <t>GAF certified, A+ BBB, 4.9 stars 96 reviews. Family-owned (Martinez). Real build brief done.</t>
        </is>
      </c>
    </row>
    <row r="3">
      <c r="A3" s="2" t="inlineStr">
        <is>
          <t>Eagle Electric Inc</t>
        </is>
      </c>
      <c r="B3" s="3" t="inlineStr">
        <is>
          <t>Electrician</t>
        </is>
      </c>
      <c r="C3" s="3" t="inlineStr">
        <is>
          <t>Midvale</t>
        </is>
      </c>
      <c r="D3" s="3" t="inlineStr">
        <is>
          <t>(801) 255-8089</t>
        </is>
      </c>
      <c r="E3" s="3" t="inlineStr">
        <is>
          <t>office@eagle-electric-inc.net</t>
        </is>
      </c>
      <c r="F3" s="3" t="inlineStr">
        <is>
          <t>Demo built</t>
        </is>
      </c>
      <c r="G3" s="7" t="inlineStr">
        <is>
          <t>Sent</t>
        </is>
      </c>
      <c r="H3" s="3" t="inlineStr">
        <is>
          <t>https://consciousmirage.github.io/forge-demos/eagle-electric-inc/</t>
        </is>
      </c>
      <c r="I3" s="2" t="inlineStr">
        <is>
          <t>Follow-up call to Kurt Brooks</t>
        </is>
      </c>
      <c r="J3" s="5" t="inlineStr">
        <is>
          <t>2026-06-19</t>
        </is>
      </c>
      <c r="K3" s="6" t="n">
        <v>900</v>
      </c>
      <c r="L3" s="2" t="inlineStr">
        <is>
          <t>Est 1987, 24hr emergency. Domain is dead lead-gen — no real site. Owner Kurt Brooks, VP Jodie Turner.</t>
        </is>
      </c>
    </row>
    <row r="4">
      <c r="A4" s="2" t="inlineStr">
        <is>
          <t>TSW Auto Service</t>
        </is>
      </c>
      <c r="B4" s="3" t="inlineStr">
        <is>
          <t>Auto Repair</t>
        </is>
      </c>
      <c r="C4" s="3" t="inlineStr">
        <is>
          <t>Kearns</t>
        </is>
      </c>
      <c r="D4" s="3" t="inlineStr">
        <is>
          <t>(801) 963-4991</t>
        </is>
      </c>
      <c r="E4" s="3" t="inlineStr"/>
      <c r="F4" s="3" t="inlineStr">
        <is>
          <t>Demo built</t>
        </is>
      </c>
      <c r="G4" s="7" t="inlineStr">
        <is>
          <t>Sent</t>
        </is>
      </c>
      <c r="H4" s="3" t="inlineStr">
        <is>
          <t>https://consciousmirage.github.io/forge-demos/tsw-auto-service/</t>
        </is>
      </c>
      <c r="I4" s="2" t="inlineStr">
        <is>
          <t>Follow-up call to Tran Quang (v2 ready)</t>
        </is>
      </c>
      <c r="J4" s="5" t="inlineStr">
        <is>
          <t>2026-06-19</t>
        </is>
      </c>
      <c r="K4" s="6" t="n">
        <v>900</v>
      </c>
      <c r="L4" s="2" t="inlineStr">
        <is>
          <t>Family-owned since 1993, 4.8 stars 176 reviews. No website at all. v2 demo built.</t>
        </is>
      </c>
    </row>
    <row r="5">
      <c r="A5" s="2" t="inlineStr">
        <is>
          <t>Bateman Brothers Electric Inc</t>
        </is>
      </c>
      <c r="B5" s="3" t="inlineStr">
        <is>
          <t>Electrician</t>
        </is>
      </c>
      <c r="C5" s="3" t="inlineStr">
        <is>
          <t>West Jordan</t>
        </is>
      </c>
      <c r="D5" s="3" t="inlineStr">
        <is>
          <t>(801) 231-4139</t>
        </is>
      </c>
      <c r="E5" s="3" t="inlineStr"/>
      <c r="F5" s="3" t="inlineStr">
        <is>
          <t>Demo built</t>
        </is>
      </c>
      <c r="G5" s="7" t="inlineStr">
        <is>
          <t>Sent</t>
        </is>
      </c>
      <c r="H5" s="3" t="inlineStr">
        <is>
          <t>https://consciousmirage.github.io/forge-demos/bateman-brothers-electric/</t>
        </is>
      </c>
      <c r="I5" s="2" t="inlineStr">
        <is>
          <t>Follow-up call to Kelly Bateman</t>
        </is>
      </c>
      <c r="J5" s="5" t="inlineStr">
        <is>
          <t>2026-06-19</t>
        </is>
      </c>
      <c r="K5" s="6" t="n">
        <v>900</v>
      </c>
      <c r="L5" s="2" t="inlineStr">
        <is>
          <t>Est 1996, ~30 yrs. Directory listings only, no website. President Kelly Bateman.</t>
        </is>
      </c>
    </row>
    <row r="6">
      <c r="A6" s="2" t="inlineStr">
        <is>
          <t>CC Tile &amp; Remodeling</t>
        </is>
      </c>
      <c r="B6" s="3" t="inlineStr">
        <is>
          <t>Remodeling</t>
        </is>
      </c>
      <c r="C6" s="3" t="inlineStr">
        <is>
          <t>Salt Lake City</t>
        </is>
      </c>
      <c r="D6" s="3" t="inlineStr">
        <is>
          <t>(801) 463-9100</t>
        </is>
      </c>
      <c r="E6" s="3" t="inlineStr"/>
      <c r="F6" s="3" t="inlineStr">
        <is>
          <t>Demo built</t>
        </is>
      </c>
      <c r="G6" s="7" t="inlineStr">
        <is>
          <t>Sent</t>
        </is>
      </c>
      <c r="H6" s="3" t="inlineStr">
        <is>
          <t>https://consciousmirage.github.io/forge-demos/cc-tile-and-remodeling/</t>
        </is>
      </c>
      <c r="I6" s="2" t="inlineStr">
        <is>
          <t>Follow-up call to Jerry Coates</t>
        </is>
      </c>
      <c r="J6" s="5" t="inlineStr">
        <is>
          <t>2026-06-19</t>
        </is>
      </c>
      <c r="K6" s="6" t="n">
        <v>1200</v>
      </c>
      <c r="L6" s="2" t="inlineStr">
        <is>
          <t>13+ yrs, own showroom + in-house designer. Domain feralcogitation.com is dead. Owners Jerry &amp; Debi Coates.</t>
        </is>
      </c>
    </row>
    <row r="7">
      <c r="A7" s="2" t="inlineStr">
        <is>
          <t>J&amp;D Contracting</t>
        </is>
      </c>
      <c r="B7" s="3" t="inlineStr">
        <is>
          <t>Remodeling</t>
        </is>
      </c>
      <c r="C7" s="3" t="inlineStr">
        <is>
          <t>West Valley City</t>
        </is>
      </c>
      <c r="D7" s="3" t="inlineStr">
        <is>
          <t>(801) 597-9590</t>
        </is>
      </c>
      <c r="E7" s="3" t="inlineStr"/>
      <c r="F7" s="3" t="inlineStr">
        <is>
          <t>Demo built</t>
        </is>
      </c>
      <c r="G7" s="7" t="inlineStr">
        <is>
          <t>Sent</t>
        </is>
      </c>
      <c r="H7" s="3" t="inlineStr">
        <is>
          <t>https://consciousmirage.github.io/forge-demos/j-and-d-contracting/</t>
        </is>
      </c>
      <c r="I7" s="2" t="inlineStr">
        <is>
          <t>Follow-up call</t>
        </is>
      </c>
      <c r="J7" s="5" t="inlineStr">
        <is>
          <t>2026-06-19</t>
        </is>
      </c>
      <c r="K7" s="6" t="n">
        <v>1200</v>
      </c>
      <c r="L7" s="2" t="inlineStr">
        <is>
          <t>SLHBA member, commercial + residential. No website on any listing.</t>
        </is>
      </c>
    </row>
    <row r="8">
      <c r="A8" s="2" t="inlineStr">
        <is>
          <t>Advantage Roofing &amp; Construction</t>
        </is>
      </c>
      <c r="B8" s="3" t="inlineStr">
        <is>
          <t>Roofing</t>
        </is>
      </c>
      <c r="C8" s="3" t="inlineStr">
        <is>
          <t>Salt Lake City</t>
        </is>
      </c>
      <c r="D8" s="3" t="inlineStr">
        <is>
          <t>(801) 599-6065</t>
        </is>
      </c>
      <c r="E8" s="3" t="inlineStr"/>
      <c r="F8" s="3" t="inlineStr">
        <is>
          <t>Demo built</t>
        </is>
      </c>
      <c r="G8" s="7" t="inlineStr">
        <is>
          <t>Sent</t>
        </is>
      </c>
      <c r="H8" s="3" t="inlineStr">
        <is>
          <t>https://consciousmirage.github.io/forge-demos/advantage-roofing-and-construction/</t>
        </is>
      </c>
      <c r="I8" s="2" t="inlineStr">
        <is>
          <t>Follow-up call to Jesse Wilkerson</t>
        </is>
      </c>
      <c r="J8" s="5" t="inlineStr">
        <is>
          <t>2026-06-19</t>
        </is>
      </c>
      <c r="K8" s="6" t="n">
        <v>900</v>
      </c>
      <c r="L8" s="2" t="inlineStr">
        <is>
          <t>Owens Corning Preferred, ~25 yrs. Old site now 404s. Owner Jesse J Wilkerson.</t>
        </is>
      </c>
    </row>
    <row r="9">
      <c r="A9" s="2" t="inlineStr">
        <is>
          <t>Davis &amp; Sons Electrical</t>
        </is>
      </c>
      <c r="B9" s="3" t="inlineStr">
        <is>
          <t>Electrician</t>
        </is>
      </c>
      <c r="C9" s="3" t="inlineStr">
        <is>
          <t>West Valley City</t>
        </is>
      </c>
      <c r="D9" s="3" t="inlineStr">
        <is>
          <t>(801) 935-1221</t>
        </is>
      </c>
      <c r="E9" s="3" t="inlineStr"/>
      <c r="F9" s="3" t="inlineStr">
        <is>
          <t>Demo built</t>
        </is>
      </c>
      <c r="G9" s="7" t="inlineStr">
        <is>
          <t>Sent</t>
        </is>
      </c>
      <c r="H9" s="3" t="inlineStr">
        <is>
          <t>https://consciousmirage.github.io/forge-demos/davis-and-sons-electrical/</t>
        </is>
      </c>
      <c r="I9" s="2" t="inlineStr">
        <is>
          <t>Follow-up call to Donald Davis</t>
        </is>
      </c>
      <c r="J9" s="5" t="inlineStr">
        <is>
          <t>2026-06-19</t>
        </is>
      </c>
      <c r="K9" s="6" t="n">
        <v>900</v>
      </c>
      <c r="L9" s="2" t="inlineStr">
        <is>
          <t>2nd-gen master electrician + ex state inspector, est 2007. Facebook page is only presence.</t>
        </is>
      </c>
    </row>
    <row r="10">
      <c r="A10" s="2" t="inlineStr">
        <is>
          <t>Lavo Construction</t>
        </is>
      </c>
      <c r="B10" s="3" t="inlineStr">
        <is>
          <t>Remodeling</t>
        </is>
      </c>
      <c r="C10" s="3" t="inlineStr">
        <is>
          <t>Draper</t>
        </is>
      </c>
      <c r="D10" s="3" t="inlineStr">
        <is>
          <t>(385) 505-4388</t>
        </is>
      </c>
      <c r="E10" s="3" t="inlineStr">
        <is>
          <t>lavoconstructionllc@gmail.com</t>
        </is>
      </c>
      <c r="F10" s="3" t="inlineStr">
        <is>
          <t>Demo built</t>
        </is>
      </c>
      <c r="G10" s="7" t="inlineStr">
        <is>
          <t>Sent</t>
        </is>
      </c>
      <c r="H10" s="3" t="inlineStr">
        <is>
          <t>https://consciousmirage.github.io/forge-demos/lavo-construction/</t>
        </is>
      </c>
      <c r="I10" s="2" t="inlineStr">
        <is>
          <t>Follow-up call to Oscar</t>
        </is>
      </c>
      <c r="J10" s="5" t="inlineStr">
        <is>
          <t>2026-06-19</t>
        </is>
      </c>
      <c r="K10" s="6" t="n">
        <v>1200</v>
      </c>
      <c r="L10" s="2" t="inlineStr">
        <is>
          <t>Active license, glowing Yelp for responsiveness. Facebook only, no website. Owner Oscar.</t>
        </is>
      </c>
    </row>
    <row r="11">
      <c r="A11" s="2" t="inlineStr">
        <is>
          <t>Smart Specialty</t>
        </is>
      </c>
      <c r="B11" s="3" t="inlineStr">
        <is>
          <t>Remodeling</t>
        </is>
      </c>
      <c r="C11" s="3" t="inlineStr">
        <is>
          <t>Sandy</t>
        </is>
      </c>
      <c r="D11" s="3" t="inlineStr">
        <is>
          <t>(801) 509-5217</t>
        </is>
      </c>
      <c r="E11" s="3" t="inlineStr">
        <is>
          <t>rob@smartspecialtyremodeling.com</t>
        </is>
      </c>
      <c r="F11" s="3" t="inlineStr">
        <is>
          <t>Qualified list</t>
        </is>
      </c>
      <c r="G11" s="8" t="inlineStr">
        <is>
          <t>New</t>
        </is>
      </c>
      <c r="H11" s="3" t="inlineStr"/>
      <c r="I11" s="2" t="inlineStr">
        <is>
          <t>Build demo</t>
        </is>
      </c>
      <c r="J11" s="5" t="inlineStr">
        <is>
          <t>2026-06-21</t>
        </is>
      </c>
      <c r="K11" s="6" t="n">
        <v>1200</v>
      </c>
      <c r="L11" s="2" t="inlineStr">
        <is>
          <t>Owner-operated since 1982, kitchens/baths/basements. Dated Squarespace — upgrade target. Owner Rob Smart.</t>
        </is>
      </c>
    </row>
    <row r="12">
      <c r="A12" s="2" t="inlineStr">
        <is>
          <t>Aegis Heating and Air</t>
        </is>
      </c>
      <c r="B12" s="3" t="inlineStr">
        <is>
          <t>HVAC</t>
        </is>
      </c>
      <c r="C12" s="3" t="inlineStr">
        <is>
          <t>West Valley City</t>
        </is>
      </c>
      <c r="D12" s="3" t="inlineStr">
        <is>
          <t>(385) 250-0687</t>
        </is>
      </c>
      <c r="E12" s="3" t="inlineStr">
        <is>
          <t>info@aegisheatingandair.xyz</t>
        </is>
      </c>
      <c r="F12" s="3" t="inlineStr">
        <is>
          <t>Qualified list</t>
        </is>
      </c>
      <c r="G12" s="8" t="inlineStr">
        <is>
          <t>New</t>
        </is>
      </c>
      <c r="H12" s="3" t="inlineStr"/>
      <c r="I12" s="2" t="inlineStr">
        <is>
          <t>Build demo</t>
        </is>
      </c>
      <c r="J12" s="5" t="inlineStr">
        <is>
          <t>2026-06-21</t>
        </is>
      </c>
      <c r="K12" s="6" t="n">
        <v>900</v>
      </c>
      <c r="L12" s="2" t="inlineStr">
        <is>
          <t>15+ yrs, Kearns/Taylorsville/WVC. Keyword-stuffed .xyz template — prime upgrade target.</t>
        </is>
      </c>
    </row>
    <row r="13">
      <c r="A13" s="2" t="inlineStr">
        <is>
          <t>Affordable Renovation Solutions</t>
        </is>
      </c>
      <c r="B13" s="3" t="inlineStr">
        <is>
          <t>Remodeling</t>
        </is>
      </c>
      <c r="C13" s="3" t="inlineStr">
        <is>
          <t>Salt Lake City</t>
        </is>
      </c>
      <c r="D13" s="3" t="inlineStr">
        <is>
          <t>(801) 512-1123</t>
        </is>
      </c>
      <c r="E13" s="3" t="inlineStr">
        <is>
          <t>cody@affordablerenovationsut.com</t>
        </is>
      </c>
      <c r="F13" s="3" t="inlineStr">
        <is>
          <t>Qualified list</t>
        </is>
      </c>
      <c r="G13" s="8" t="inlineStr">
        <is>
          <t>New</t>
        </is>
      </c>
      <c r="H13" s="3" t="inlineStr"/>
      <c r="I13" s="2" t="inlineStr">
        <is>
          <t>Build demo</t>
        </is>
      </c>
      <c r="J13" s="5" t="inlineStr">
        <is>
          <t>2026-06-21</t>
        </is>
      </c>
      <c r="K13" s="6" t="n">
        <v>1200</v>
      </c>
      <c r="L13" s="2" t="inlineStr">
        <is>
          <t>Est 2015, owner 20+ yrs. Site is default Wix template 'HOME | Mysite'. Owner Cody Marrs.</t>
        </is>
      </c>
    </row>
    <row r="14">
      <c r="A14" s="2" t="inlineStr">
        <is>
          <t>G.W. Construction &amp; Remodeling Inc.</t>
        </is>
      </c>
      <c r="B14" s="3" t="inlineStr">
        <is>
          <t>Remodeling</t>
        </is>
      </c>
      <c r="C14" s="3" t="inlineStr">
        <is>
          <t>Salt Lake City</t>
        </is>
      </c>
      <c r="D14" s="3" t="inlineStr">
        <is>
          <t>(801) 973-7377</t>
        </is>
      </c>
      <c r="E14" s="3" t="inlineStr">
        <is>
          <t>guywaymanconstruction@gmail.com</t>
        </is>
      </c>
      <c r="F14" s="3" t="inlineStr">
        <is>
          <t>Qualified list</t>
        </is>
      </c>
      <c r="G14" s="8" t="inlineStr">
        <is>
          <t>New</t>
        </is>
      </c>
      <c r="H14" s="3" t="inlineStr"/>
      <c r="I14" s="2" t="inlineStr">
        <is>
          <t>Build demo</t>
        </is>
      </c>
      <c r="J14" s="5" t="inlineStr">
        <is>
          <t>2026-06-22</t>
        </is>
      </c>
      <c r="K14" s="6" t="n">
        <v>1200</v>
      </c>
      <c r="L14" s="2" t="inlineStr">
        <is>
          <t>Kitchen/bath/whole-home since 2000, BuildZoom 97. Sparse outdated template. Owner Guy Wayman.</t>
        </is>
      </c>
    </row>
    <row r="15">
      <c r="A15" s="2" t="inlineStr">
        <is>
          <t>Kearns Auto Center</t>
        </is>
      </c>
      <c r="B15" s="3" t="inlineStr">
        <is>
          <t>Auto Repair</t>
        </is>
      </c>
      <c r="C15" s="3" t="inlineStr">
        <is>
          <t>Kearns</t>
        </is>
      </c>
      <c r="D15" s="3" t="inlineStr">
        <is>
          <t>(801) 964-6273</t>
        </is>
      </c>
      <c r="E15" s="3" t="inlineStr"/>
      <c r="F15" s="3" t="inlineStr">
        <is>
          <t>Qualified list</t>
        </is>
      </c>
      <c r="G15" s="8" t="inlineStr">
        <is>
          <t>New</t>
        </is>
      </c>
      <c r="H15" s="3" t="inlineStr"/>
      <c r="I15" s="2" t="inlineStr">
        <is>
          <t>Build demo</t>
        </is>
      </c>
      <c r="J15" s="5" t="inlineStr">
        <is>
          <t>2026-06-22</t>
        </is>
      </c>
      <c r="K15" s="6" t="n">
        <v>900</v>
      </c>
      <c r="L15" s="2" t="inlineStr">
        <is>
          <t>Full-service since 1999, honest-service reputation. Facebook page only. Contact Marvin Cameron.</t>
        </is>
      </c>
    </row>
  </sheetData>
  <autoFilter ref="A1:L1"/>
  <dataValidations count="1">
    <dataValidation sqref="G2:G500" showDropDown="0" showInputMessage="0" showErrorMessage="0" allowBlank="1" errorTitle="Invalid status" error="Pick a status from the list" promptTitle="Status" prompt="Choose: New, Called, Interested, Building, Sent, Won, Lost" type="list">
      <formula1>"New,Called,Interested,Building,Sent,Won,Lost"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26" customWidth="1" min="3" max="3"/>
    <col width="14" customWidth="1" min="4" max="4"/>
    <col width="20" customWidth="1" min="5" max="5"/>
    <col width="14" customWidth="1" min="6" max="6"/>
    <col width="12" customWidth="1" min="7" max="7"/>
    <col width="26" customWidth="1" min="8" max="8"/>
    <col width="50" customWidth="1" min="9" max="9"/>
  </cols>
  <sheetData>
    <row r="1" ht="24" customHeight="1">
      <c r="A1" s="1" t="inlineStr">
        <is>
          <t>Business</t>
        </is>
      </c>
      <c r="B1" s="1" t="inlineStr">
        <is>
          <t>Live URL</t>
        </is>
      </c>
      <c r="C1" s="1" t="inlineStr">
        <is>
          <t>Domain</t>
        </is>
      </c>
      <c r="D1" s="1" t="inlineStr">
        <is>
          <t>Build Paid $</t>
        </is>
      </c>
      <c r="E1" s="1" t="inlineStr">
        <is>
          <t>Care Plan $49/mo Y/N</t>
        </is>
      </c>
      <c r="F1" s="1" t="inlineStr">
        <is>
          <t>Start Date</t>
        </is>
      </c>
      <c r="G1" s="1" t="inlineStr">
        <is>
          <t>MRR</t>
        </is>
      </c>
      <c r="H1" s="1" t="inlineStr">
        <is>
          <t>Last Edit Request</t>
        </is>
      </c>
      <c r="I1" s="1" t="inlineStr">
        <is>
          <t>Notes</t>
        </is>
      </c>
    </row>
    <row r="2">
      <c r="D2" s="9" t="n"/>
      <c r="F2" s="10" t="n"/>
      <c r="G2" s="9">
        <f>IF($E2="Y",49,0)</f>
        <v/>
      </c>
    </row>
    <row r="3">
      <c r="D3" s="9" t="n"/>
      <c r="F3" s="10" t="n"/>
      <c r="G3" s="9">
        <f>IF($E3="Y",49,0)</f>
        <v/>
      </c>
    </row>
    <row r="4">
      <c r="D4" s="9" t="n"/>
      <c r="F4" s="10" t="n"/>
      <c r="G4" s="9">
        <f>IF($E4="Y",49,0)</f>
        <v/>
      </c>
    </row>
    <row r="5">
      <c r="D5" s="9" t="n"/>
      <c r="F5" s="10" t="n"/>
      <c r="G5" s="9">
        <f>IF($E5="Y",49,0)</f>
        <v/>
      </c>
    </row>
    <row r="6">
      <c r="D6" s="9" t="n"/>
      <c r="F6" s="10" t="n"/>
      <c r="G6" s="9">
        <f>IF($E6="Y",49,0)</f>
        <v/>
      </c>
    </row>
    <row r="7">
      <c r="D7" s="9" t="n"/>
      <c r="F7" s="10" t="n"/>
      <c r="G7" s="9">
        <f>IF($E7="Y",49,0)</f>
        <v/>
      </c>
    </row>
    <row r="8">
      <c r="D8" s="9" t="n"/>
      <c r="F8" s="10" t="n"/>
      <c r="G8" s="9">
        <f>IF($E8="Y",49,0)</f>
        <v/>
      </c>
    </row>
    <row r="9">
      <c r="D9" s="9" t="n"/>
      <c r="F9" s="10" t="n"/>
      <c r="G9" s="9">
        <f>IF($E9="Y",49,0)</f>
        <v/>
      </c>
    </row>
    <row r="10">
      <c r="D10" s="9" t="n"/>
      <c r="F10" s="10" t="n"/>
      <c r="G10" s="9">
        <f>IF($E10="Y",49,0)</f>
        <v/>
      </c>
    </row>
    <row r="11">
      <c r="D11" s="9" t="n"/>
      <c r="F11" s="10" t="n"/>
      <c r="G11" s="9">
        <f>IF($E11="Y",49,0)</f>
        <v/>
      </c>
    </row>
    <row r="12">
      <c r="D12" s="9" t="n"/>
      <c r="F12" s="10" t="n"/>
      <c r="G12" s="9">
        <f>IF($E12="Y",49,0)</f>
        <v/>
      </c>
    </row>
    <row r="13">
      <c r="D13" s="9" t="n"/>
      <c r="F13" s="10" t="n"/>
      <c r="G13" s="9">
        <f>IF($E13="Y",49,0)</f>
        <v/>
      </c>
    </row>
    <row r="14">
      <c r="D14" s="9" t="n"/>
      <c r="F14" s="10" t="n"/>
      <c r="G14" s="9">
        <f>IF($E14="Y",49,0)</f>
        <v/>
      </c>
    </row>
    <row r="15">
      <c r="D15" s="9" t="n"/>
      <c r="F15" s="10" t="n"/>
      <c r="G15" s="9">
        <f>IF($E15="Y",49,0)</f>
        <v/>
      </c>
    </row>
    <row r="16">
      <c r="D16" s="9" t="n"/>
      <c r="F16" s="10" t="n"/>
      <c r="G16" s="9">
        <f>IF($E16="Y",49,0)</f>
        <v/>
      </c>
    </row>
    <row r="17">
      <c r="D17" s="9" t="n"/>
      <c r="F17" s="10" t="n"/>
      <c r="G17" s="9">
        <f>IF($E17="Y",49,0)</f>
        <v/>
      </c>
    </row>
    <row r="18">
      <c r="D18" s="9" t="n"/>
      <c r="F18" s="10" t="n"/>
      <c r="G18" s="9">
        <f>IF($E18="Y",49,0)</f>
        <v/>
      </c>
    </row>
    <row r="19">
      <c r="D19" s="9" t="n"/>
      <c r="F19" s="10" t="n"/>
      <c r="G19" s="9">
        <f>IF($E19="Y",49,0)</f>
        <v/>
      </c>
    </row>
    <row r="20">
      <c r="D20" s="9" t="n"/>
      <c r="F20" s="10" t="n"/>
      <c r="G20" s="9">
        <f>IF($E20="Y",49,0)</f>
        <v/>
      </c>
    </row>
    <row r="21">
      <c r="D21" s="9" t="n"/>
      <c r="F21" s="10" t="n"/>
      <c r="G21" s="9">
        <f>IF($E21="Y",49,0)</f>
        <v/>
      </c>
    </row>
    <row r="22">
      <c r="D22" s="9" t="n"/>
      <c r="F22" s="10" t="n"/>
      <c r="G22" s="9">
        <f>IF($E22="Y",49,0)</f>
        <v/>
      </c>
    </row>
    <row r="23">
      <c r="D23" s="9" t="n"/>
      <c r="F23" s="10" t="n"/>
      <c r="G23" s="9">
        <f>IF($E23="Y",49,0)</f>
        <v/>
      </c>
    </row>
    <row r="24">
      <c r="D24" s="9" t="n"/>
      <c r="F24" s="10" t="n"/>
      <c r="G24" s="9">
        <f>IF($E24="Y",49,0)</f>
        <v/>
      </c>
    </row>
    <row r="25">
      <c r="D25" s="9" t="n"/>
      <c r="F25" s="10" t="n"/>
      <c r="G25" s="9">
        <f>IF($E25="Y",49,0)</f>
        <v/>
      </c>
    </row>
    <row r="26">
      <c r="D26" s="9" t="n"/>
      <c r="F26" s="10" t="n"/>
      <c r="G26" s="9">
        <f>IF($E26="Y",49,0)</f>
        <v/>
      </c>
    </row>
    <row r="27">
      <c r="D27" s="9" t="n"/>
      <c r="F27" s="10" t="n"/>
      <c r="G27" s="9">
        <f>IF($E27="Y",49,0)</f>
        <v/>
      </c>
    </row>
    <row r="28">
      <c r="D28" s="9" t="n"/>
      <c r="F28" s="10" t="n"/>
      <c r="G28" s="9">
        <f>IF($E28="Y",49,0)</f>
        <v/>
      </c>
    </row>
    <row r="29">
      <c r="D29" s="9" t="n"/>
      <c r="F29" s="10" t="n"/>
      <c r="G29" s="9">
        <f>IF($E29="Y",49,0)</f>
        <v/>
      </c>
    </row>
    <row r="30">
      <c r="D30" s="9" t="n"/>
      <c r="F30" s="10" t="n"/>
      <c r="G30" s="9">
        <f>IF($E30="Y",49,0)</f>
        <v/>
      </c>
    </row>
    <row r="31">
      <c r="D31" s="9" t="n"/>
      <c r="F31" s="10" t="n"/>
      <c r="G31" s="9">
        <f>IF($E31="Y",49,0)</f>
        <v/>
      </c>
    </row>
    <row r="32">
      <c r="D32" s="9" t="n"/>
      <c r="F32" s="10" t="n"/>
      <c r="G32" s="9">
        <f>IF($E32="Y",49,0)</f>
        <v/>
      </c>
    </row>
    <row r="33">
      <c r="D33" s="9" t="n"/>
      <c r="F33" s="10" t="n"/>
      <c r="G33" s="9">
        <f>IF($E33="Y",49,0)</f>
        <v/>
      </c>
    </row>
    <row r="34">
      <c r="D34" s="9" t="n"/>
      <c r="F34" s="10" t="n"/>
      <c r="G34" s="9">
        <f>IF($E34="Y",49,0)</f>
        <v/>
      </c>
    </row>
    <row r="35">
      <c r="D35" s="9" t="n"/>
      <c r="F35" s="10" t="n"/>
      <c r="G35" s="9">
        <f>IF($E35="Y",49,0)</f>
        <v/>
      </c>
    </row>
    <row r="36">
      <c r="D36" s="9" t="n"/>
      <c r="F36" s="10" t="n"/>
      <c r="G36" s="9">
        <f>IF($E36="Y",49,0)</f>
        <v/>
      </c>
    </row>
    <row r="37">
      <c r="D37" s="9" t="n"/>
      <c r="F37" s="10" t="n"/>
      <c r="G37" s="9">
        <f>IF($E37="Y",49,0)</f>
        <v/>
      </c>
    </row>
    <row r="38">
      <c r="D38" s="9" t="n"/>
      <c r="F38" s="10" t="n"/>
      <c r="G38" s="9">
        <f>IF($E38="Y",49,0)</f>
        <v/>
      </c>
    </row>
    <row r="39">
      <c r="D39" s="9" t="n"/>
      <c r="F39" s="10" t="n"/>
      <c r="G39" s="9">
        <f>IF($E39="Y",49,0)</f>
        <v/>
      </c>
    </row>
    <row r="40">
      <c r="D40" s="9" t="n"/>
      <c r="F40" s="10" t="n"/>
      <c r="G40" s="9">
        <f>IF($E40="Y",49,0)</f>
        <v/>
      </c>
    </row>
    <row r="41">
      <c r="D41" s="9" t="n"/>
      <c r="F41" s="10" t="n"/>
      <c r="G41" s="9">
        <f>IF($E41="Y",49,0)</f>
        <v/>
      </c>
    </row>
    <row r="42">
      <c r="D42" s="9" t="n"/>
      <c r="F42" s="10" t="n"/>
      <c r="G42" s="9">
        <f>IF($E42="Y",49,0)</f>
        <v/>
      </c>
    </row>
    <row r="43">
      <c r="D43" s="9" t="n"/>
      <c r="F43" s="10" t="n"/>
      <c r="G43" s="9">
        <f>IF($E43="Y",49,0)</f>
        <v/>
      </c>
    </row>
    <row r="44">
      <c r="D44" s="9" t="n"/>
      <c r="F44" s="10" t="n"/>
      <c r="G44" s="9">
        <f>IF($E44="Y",49,0)</f>
        <v/>
      </c>
    </row>
    <row r="45">
      <c r="D45" s="9" t="n"/>
      <c r="F45" s="10" t="n"/>
      <c r="G45" s="9">
        <f>IF($E45="Y",49,0)</f>
        <v/>
      </c>
    </row>
    <row r="46">
      <c r="D46" s="9" t="n"/>
      <c r="F46" s="10" t="n"/>
      <c r="G46" s="9">
        <f>IF($E46="Y",49,0)</f>
        <v/>
      </c>
    </row>
    <row r="47">
      <c r="D47" s="9" t="n"/>
      <c r="F47" s="10" t="n"/>
      <c r="G47" s="9">
        <f>IF($E47="Y",49,0)</f>
        <v/>
      </c>
    </row>
    <row r="48">
      <c r="D48" s="9" t="n"/>
      <c r="F48" s="10" t="n"/>
      <c r="G48" s="9">
        <f>IF($E48="Y",49,0)</f>
        <v/>
      </c>
    </row>
    <row r="49">
      <c r="D49" s="9" t="n"/>
      <c r="F49" s="10" t="n"/>
      <c r="G49" s="9">
        <f>IF($E49="Y",49,0)</f>
        <v/>
      </c>
    </row>
    <row r="50">
      <c r="D50" s="9" t="n"/>
      <c r="F50" s="10" t="n"/>
      <c r="G50" s="9">
        <f>IF($E50="Y",49,0)</f>
        <v/>
      </c>
    </row>
    <row r="51">
      <c r="D51" s="9" t="n"/>
      <c r="F51" s="10" t="n"/>
      <c r="G51" s="9">
        <f>IF($E51="Y",49,0)</f>
        <v/>
      </c>
    </row>
    <row r="52">
      <c r="D52" s="9" t="n"/>
      <c r="F52" s="10" t="n"/>
      <c r="G52" s="9">
        <f>IF($E52="Y",49,0)</f>
        <v/>
      </c>
    </row>
    <row r="53">
      <c r="D53" s="9" t="n"/>
      <c r="F53" s="10" t="n"/>
      <c r="G53" s="9">
        <f>IF($E53="Y",49,0)</f>
        <v/>
      </c>
    </row>
    <row r="54">
      <c r="D54" s="9" t="n"/>
      <c r="F54" s="10" t="n"/>
      <c r="G54" s="9">
        <f>IF($E54="Y",49,0)</f>
        <v/>
      </c>
    </row>
    <row r="55">
      <c r="D55" s="9" t="n"/>
      <c r="F55" s="10" t="n"/>
      <c r="G55" s="9">
        <f>IF($E55="Y",49,0)</f>
        <v/>
      </c>
    </row>
    <row r="56">
      <c r="D56" s="9" t="n"/>
      <c r="F56" s="10" t="n"/>
      <c r="G56" s="9">
        <f>IF($E56="Y",49,0)</f>
        <v/>
      </c>
    </row>
    <row r="57">
      <c r="D57" s="9" t="n"/>
      <c r="F57" s="10" t="n"/>
      <c r="G57" s="9">
        <f>IF($E57="Y",49,0)</f>
        <v/>
      </c>
    </row>
    <row r="58">
      <c r="D58" s="9" t="n"/>
      <c r="F58" s="10" t="n"/>
      <c r="G58" s="9">
        <f>IF($E58="Y",49,0)</f>
        <v/>
      </c>
    </row>
    <row r="59">
      <c r="D59" s="9" t="n"/>
      <c r="F59" s="10" t="n"/>
      <c r="G59" s="9">
        <f>IF($E59="Y",49,0)</f>
        <v/>
      </c>
    </row>
    <row r="60">
      <c r="D60" s="9" t="n"/>
      <c r="F60" s="10" t="n"/>
      <c r="G60" s="9">
        <f>IF($E60="Y",49,0)</f>
        <v/>
      </c>
    </row>
    <row r="61">
      <c r="D61" s="9" t="n"/>
      <c r="F61" s="10" t="n"/>
      <c r="G61" s="9">
        <f>IF($E61="Y",49,0)</f>
        <v/>
      </c>
    </row>
    <row r="62">
      <c r="D62" s="9" t="n"/>
      <c r="F62" s="10" t="n"/>
      <c r="G62" s="9">
        <f>IF($E62="Y",49,0)</f>
        <v/>
      </c>
    </row>
    <row r="63">
      <c r="D63" s="9" t="n"/>
      <c r="F63" s="10" t="n"/>
      <c r="G63" s="9">
        <f>IF($E63="Y",49,0)</f>
        <v/>
      </c>
    </row>
    <row r="64">
      <c r="D64" s="9" t="n"/>
      <c r="F64" s="10" t="n"/>
      <c r="G64" s="9">
        <f>IF($E64="Y",49,0)</f>
        <v/>
      </c>
    </row>
    <row r="65">
      <c r="D65" s="9" t="n"/>
      <c r="F65" s="10" t="n"/>
      <c r="G65" s="9">
        <f>IF($E65="Y",49,0)</f>
        <v/>
      </c>
    </row>
    <row r="66">
      <c r="D66" s="9" t="n"/>
      <c r="F66" s="10" t="n"/>
      <c r="G66" s="9">
        <f>IF($E66="Y",49,0)</f>
        <v/>
      </c>
    </row>
    <row r="67">
      <c r="D67" s="9" t="n"/>
      <c r="F67" s="10" t="n"/>
      <c r="G67" s="9">
        <f>IF($E67="Y",49,0)</f>
        <v/>
      </c>
    </row>
    <row r="68">
      <c r="D68" s="9" t="n"/>
      <c r="F68" s="10" t="n"/>
      <c r="G68" s="9">
        <f>IF($E68="Y",49,0)</f>
        <v/>
      </c>
    </row>
    <row r="69">
      <c r="D69" s="9" t="n"/>
      <c r="F69" s="10" t="n"/>
      <c r="G69" s="9">
        <f>IF($E69="Y",49,0)</f>
        <v/>
      </c>
    </row>
    <row r="70">
      <c r="D70" s="9" t="n"/>
      <c r="F70" s="10" t="n"/>
      <c r="G70" s="9">
        <f>IF($E70="Y",49,0)</f>
        <v/>
      </c>
    </row>
    <row r="71">
      <c r="D71" s="9" t="n"/>
      <c r="F71" s="10" t="n"/>
      <c r="G71" s="9">
        <f>IF($E71="Y",49,0)</f>
        <v/>
      </c>
    </row>
    <row r="72">
      <c r="D72" s="9" t="n"/>
      <c r="F72" s="10" t="n"/>
      <c r="G72" s="9">
        <f>IF($E72="Y",49,0)</f>
        <v/>
      </c>
    </row>
    <row r="73">
      <c r="D73" s="9" t="n"/>
      <c r="F73" s="10" t="n"/>
      <c r="G73" s="9">
        <f>IF($E73="Y",49,0)</f>
        <v/>
      </c>
    </row>
    <row r="74">
      <c r="D74" s="9" t="n"/>
      <c r="F74" s="10" t="n"/>
      <c r="G74" s="9">
        <f>IF($E74="Y",49,0)</f>
        <v/>
      </c>
    </row>
    <row r="75">
      <c r="D75" s="9" t="n"/>
      <c r="F75" s="10" t="n"/>
      <c r="G75" s="9">
        <f>IF($E75="Y",49,0)</f>
        <v/>
      </c>
    </row>
    <row r="76">
      <c r="D76" s="9" t="n"/>
      <c r="F76" s="10" t="n"/>
      <c r="G76" s="9">
        <f>IF($E76="Y",49,0)</f>
        <v/>
      </c>
    </row>
    <row r="77">
      <c r="D77" s="9" t="n"/>
      <c r="F77" s="10" t="n"/>
      <c r="G77" s="9">
        <f>IF($E77="Y",49,0)</f>
        <v/>
      </c>
    </row>
    <row r="78">
      <c r="D78" s="9" t="n"/>
      <c r="F78" s="10" t="n"/>
      <c r="G78" s="9">
        <f>IF($E78="Y",49,0)</f>
        <v/>
      </c>
    </row>
    <row r="79">
      <c r="D79" s="9" t="n"/>
      <c r="F79" s="10" t="n"/>
      <c r="G79" s="9">
        <f>IF($E79="Y",49,0)</f>
        <v/>
      </c>
    </row>
    <row r="80">
      <c r="D80" s="9" t="n"/>
      <c r="F80" s="10" t="n"/>
      <c r="G80" s="9">
        <f>IF($E80="Y",49,0)</f>
        <v/>
      </c>
    </row>
    <row r="81">
      <c r="D81" s="9" t="n"/>
      <c r="F81" s="10" t="n"/>
      <c r="G81" s="9">
        <f>IF($E81="Y",49,0)</f>
        <v/>
      </c>
    </row>
    <row r="82">
      <c r="D82" s="9" t="n"/>
      <c r="F82" s="10" t="n"/>
      <c r="G82" s="9">
        <f>IF($E82="Y",49,0)</f>
        <v/>
      </c>
    </row>
    <row r="83">
      <c r="D83" s="9" t="n"/>
      <c r="F83" s="10" t="n"/>
      <c r="G83" s="9">
        <f>IF($E83="Y",49,0)</f>
        <v/>
      </c>
    </row>
    <row r="84">
      <c r="D84" s="9" t="n"/>
      <c r="F84" s="10" t="n"/>
      <c r="G84" s="9">
        <f>IF($E84="Y",49,0)</f>
        <v/>
      </c>
    </row>
    <row r="85">
      <c r="D85" s="9" t="n"/>
      <c r="F85" s="10" t="n"/>
      <c r="G85" s="9">
        <f>IF($E85="Y",49,0)</f>
        <v/>
      </c>
    </row>
    <row r="86">
      <c r="D86" s="9" t="n"/>
      <c r="F86" s="10" t="n"/>
      <c r="G86" s="9">
        <f>IF($E86="Y",49,0)</f>
        <v/>
      </c>
    </row>
    <row r="87">
      <c r="D87" s="9" t="n"/>
      <c r="F87" s="10" t="n"/>
      <c r="G87" s="9">
        <f>IF($E87="Y",49,0)</f>
        <v/>
      </c>
    </row>
    <row r="88">
      <c r="D88" s="9" t="n"/>
      <c r="F88" s="10" t="n"/>
      <c r="G88" s="9">
        <f>IF($E88="Y",49,0)</f>
        <v/>
      </c>
    </row>
    <row r="89">
      <c r="D89" s="9" t="n"/>
      <c r="F89" s="10" t="n"/>
      <c r="G89" s="9">
        <f>IF($E89="Y",49,0)</f>
        <v/>
      </c>
    </row>
    <row r="90">
      <c r="D90" s="9" t="n"/>
      <c r="F90" s="10" t="n"/>
      <c r="G90" s="9">
        <f>IF($E90="Y",49,0)</f>
        <v/>
      </c>
    </row>
    <row r="91">
      <c r="D91" s="9" t="n"/>
      <c r="F91" s="10" t="n"/>
      <c r="G91" s="9">
        <f>IF($E91="Y",49,0)</f>
        <v/>
      </c>
    </row>
    <row r="92">
      <c r="D92" s="9" t="n"/>
      <c r="F92" s="10" t="n"/>
      <c r="G92" s="9">
        <f>IF($E92="Y",49,0)</f>
        <v/>
      </c>
    </row>
    <row r="93">
      <c r="D93" s="9" t="n"/>
      <c r="F93" s="10" t="n"/>
      <c r="G93" s="9">
        <f>IF($E93="Y",49,0)</f>
        <v/>
      </c>
    </row>
    <row r="94">
      <c r="D94" s="9" t="n"/>
      <c r="F94" s="10" t="n"/>
      <c r="G94" s="9">
        <f>IF($E94="Y",49,0)</f>
        <v/>
      </c>
    </row>
    <row r="95">
      <c r="D95" s="9" t="n"/>
      <c r="F95" s="10" t="n"/>
      <c r="G95" s="9">
        <f>IF($E95="Y",49,0)</f>
        <v/>
      </c>
    </row>
    <row r="96">
      <c r="D96" s="9" t="n"/>
      <c r="F96" s="10" t="n"/>
      <c r="G96" s="9">
        <f>IF($E96="Y",49,0)</f>
        <v/>
      </c>
    </row>
    <row r="97">
      <c r="D97" s="9" t="n"/>
      <c r="F97" s="10" t="n"/>
      <c r="G97" s="9">
        <f>IF($E97="Y",49,0)</f>
        <v/>
      </c>
    </row>
    <row r="98">
      <c r="D98" s="9" t="n"/>
      <c r="F98" s="10" t="n"/>
      <c r="G98" s="9">
        <f>IF($E98="Y",49,0)</f>
        <v/>
      </c>
    </row>
    <row r="99">
      <c r="D99" s="9" t="n"/>
      <c r="F99" s="10" t="n"/>
      <c r="G99" s="9">
        <f>IF($E99="Y",49,0)</f>
        <v/>
      </c>
    </row>
    <row r="100">
      <c r="D100" s="9" t="n"/>
      <c r="F100" s="10" t="n"/>
      <c r="G100" s="9">
        <f>IF($E100="Y",49,0)</f>
        <v/>
      </c>
    </row>
    <row r="101">
      <c r="D101" s="9" t="n"/>
      <c r="F101" s="10" t="n"/>
      <c r="G101" s="9">
        <f>IF($E101="Y",49,0)</f>
        <v/>
      </c>
    </row>
    <row r="102">
      <c r="D102" s="9" t="n"/>
      <c r="F102" s="10" t="n"/>
      <c r="G102" s="9">
        <f>IF($E102="Y",49,0)</f>
        <v/>
      </c>
    </row>
    <row r="103">
      <c r="D103" s="9" t="n"/>
      <c r="F103" s="10" t="n"/>
      <c r="G103" s="9">
        <f>IF($E103="Y",49,0)</f>
        <v/>
      </c>
    </row>
    <row r="104">
      <c r="D104" s="9" t="n"/>
      <c r="F104" s="10" t="n"/>
      <c r="G104" s="9">
        <f>IF($E104="Y",49,0)</f>
        <v/>
      </c>
    </row>
    <row r="105">
      <c r="D105" s="9" t="n"/>
      <c r="F105" s="10" t="n"/>
      <c r="G105" s="9">
        <f>IF($E105="Y",49,0)</f>
        <v/>
      </c>
    </row>
    <row r="106">
      <c r="D106" s="9" t="n"/>
      <c r="F106" s="10" t="n"/>
      <c r="G106" s="9">
        <f>IF($E106="Y",49,0)</f>
        <v/>
      </c>
    </row>
    <row r="107">
      <c r="D107" s="9" t="n"/>
      <c r="F107" s="10" t="n"/>
      <c r="G107" s="9">
        <f>IF($E107="Y",49,0)</f>
        <v/>
      </c>
    </row>
    <row r="108">
      <c r="D108" s="9" t="n"/>
      <c r="F108" s="10" t="n"/>
      <c r="G108" s="9">
        <f>IF($E108="Y",49,0)</f>
        <v/>
      </c>
    </row>
    <row r="109">
      <c r="D109" s="9" t="n"/>
      <c r="F109" s="10" t="n"/>
      <c r="G109" s="9">
        <f>IF($E109="Y",49,0)</f>
        <v/>
      </c>
    </row>
    <row r="110">
      <c r="D110" s="9" t="n"/>
      <c r="F110" s="10" t="n"/>
      <c r="G110" s="9">
        <f>IF($E110="Y",49,0)</f>
        <v/>
      </c>
    </row>
    <row r="111">
      <c r="D111" s="9" t="n"/>
      <c r="F111" s="10" t="n"/>
      <c r="G111" s="9">
        <f>IF($E111="Y",49,0)</f>
        <v/>
      </c>
    </row>
    <row r="112">
      <c r="D112" s="9" t="n"/>
      <c r="F112" s="10" t="n"/>
      <c r="G112" s="9">
        <f>IF($E112="Y",49,0)</f>
        <v/>
      </c>
    </row>
    <row r="113">
      <c r="D113" s="9" t="n"/>
      <c r="F113" s="10" t="n"/>
      <c r="G113" s="9">
        <f>IF($E113="Y",49,0)</f>
        <v/>
      </c>
    </row>
    <row r="114">
      <c r="D114" s="9" t="n"/>
      <c r="F114" s="10" t="n"/>
      <c r="G114" s="9">
        <f>IF($E114="Y",49,0)</f>
        <v/>
      </c>
    </row>
    <row r="115">
      <c r="D115" s="9" t="n"/>
      <c r="F115" s="10" t="n"/>
      <c r="G115" s="9">
        <f>IF($E115="Y",49,0)</f>
        <v/>
      </c>
    </row>
    <row r="116">
      <c r="D116" s="9" t="n"/>
      <c r="F116" s="10" t="n"/>
      <c r="G116" s="9">
        <f>IF($E116="Y",49,0)</f>
        <v/>
      </c>
    </row>
    <row r="117">
      <c r="D117" s="9" t="n"/>
      <c r="F117" s="10" t="n"/>
      <c r="G117" s="9">
        <f>IF($E117="Y",49,0)</f>
        <v/>
      </c>
    </row>
    <row r="118">
      <c r="D118" s="9" t="n"/>
      <c r="F118" s="10" t="n"/>
      <c r="G118" s="9">
        <f>IF($E118="Y",49,0)</f>
        <v/>
      </c>
    </row>
    <row r="119">
      <c r="D119" s="9" t="n"/>
      <c r="F119" s="10" t="n"/>
      <c r="G119" s="9">
        <f>IF($E119="Y",49,0)</f>
        <v/>
      </c>
    </row>
    <row r="120">
      <c r="D120" s="9" t="n"/>
      <c r="F120" s="10" t="n"/>
      <c r="G120" s="9">
        <f>IF($E120="Y",49,0)</f>
        <v/>
      </c>
    </row>
    <row r="121">
      <c r="D121" s="9" t="n"/>
      <c r="F121" s="10" t="n"/>
      <c r="G121" s="9">
        <f>IF($E121="Y",49,0)</f>
        <v/>
      </c>
    </row>
    <row r="122">
      <c r="D122" s="9" t="n"/>
      <c r="F122" s="10" t="n"/>
      <c r="G122" s="9">
        <f>IF($E122="Y",49,0)</f>
        <v/>
      </c>
    </row>
    <row r="123">
      <c r="D123" s="9" t="n"/>
      <c r="F123" s="10" t="n"/>
      <c r="G123" s="9">
        <f>IF($E123="Y",49,0)</f>
        <v/>
      </c>
    </row>
    <row r="124">
      <c r="D124" s="9" t="n"/>
      <c r="F124" s="10" t="n"/>
      <c r="G124" s="9">
        <f>IF($E124="Y",49,0)</f>
        <v/>
      </c>
    </row>
    <row r="125">
      <c r="D125" s="9" t="n"/>
      <c r="F125" s="10" t="n"/>
      <c r="G125" s="9">
        <f>IF($E125="Y",49,0)</f>
        <v/>
      </c>
    </row>
    <row r="126">
      <c r="D126" s="9" t="n"/>
      <c r="F126" s="10" t="n"/>
      <c r="G126" s="9">
        <f>IF($E126="Y",49,0)</f>
        <v/>
      </c>
    </row>
    <row r="127">
      <c r="D127" s="9" t="n"/>
      <c r="F127" s="10" t="n"/>
      <c r="G127" s="9">
        <f>IF($E127="Y",49,0)</f>
        <v/>
      </c>
    </row>
    <row r="128">
      <c r="D128" s="9" t="n"/>
      <c r="F128" s="10" t="n"/>
      <c r="G128" s="9">
        <f>IF($E128="Y",49,0)</f>
        <v/>
      </c>
    </row>
    <row r="129">
      <c r="D129" s="9" t="n"/>
      <c r="F129" s="10" t="n"/>
      <c r="G129" s="9">
        <f>IF($E129="Y",49,0)</f>
        <v/>
      </c>
    </row>
    <row r="130">
      <c r="D130" s="9" t="n"/>
      <c r="F130" s="10" t="n"/>
      <c r="G130" s="9">
        <f>IF($E130="Y",49,0)</f>
        <v/>
      </c>
    </row>
    <row r="131">
      <c r="D131" s="9" t="n"/>
      <c r="F131" s="10" t="n"/>
      <c r="G131" s="9">
        <f>IF($E131="Y",49,0)</f>
        <v/>
      </c>
    </row>
    <row r="132">
      <c r="D132" s="9" t="n"/>
      <c r="F132" s="10" t="n"/>
      <c r="G132" s="9">
        <f>IF($E132="Y",49,0)</f>
        <v/>
      </c>
    </row>
    <row r="133">
      <c r="D133" s="9" t="n"/>
      <c r="F133" s="10" t="n"/>
      <c r="G133" s="9">
        <f>IF($E133="Y",49,0)</f>
        <v/>
      </c>
    </row>
    <row r="134">
      <c r="D134" s="9" t="n"/>
      <c r="F134" s="10" t="n"/>
      <c r="G134" s="9">
        <f>IF($E134="Y",49,0)</f>
        <v/>
      </c>
    </row>
    <row r="135">
      <c r="D135" s="9" t="n"/>
      <c r="F135" s="10" t="n"/>
      <c r="G135" s="9">
        <f>IF($E135="Y",49,0)</f>
        <v/>
      </c>
    </row>
    <row r="136">
      <c r="D136" s="9" t="n"/>
      <c r="F136" s="10" t="n"/>
      <c r="G136" s="9">
        <f>IF($E136="Y",49,0)</f>
        <v/>
      </c>
    </row>
    <row r="137">
      <c r="D137" s="9" t="n"/>
      <c r="F137" s="10" t="n"/>
      <c r="G137" s="9">
        <f>IF($E137="Y",49,0)</f>
        <v/>
      </c>
    </row>
    <row r="138">
      <c r="D138" s="9" t="n"/>
      <c r="F138" s="10" t="n"/>
      <c r="G138" s="9">
        <f>IF($E138="Y",49,0)</f>
        <v/>
      </c>
    </row>
    <row r="139">
      <c r="D139" s="9" t="n"/>
      <c r="F139" s="10" t="n"/>
      <c r="G139" s="9">
        <f>IF($E139="Y",49,0)</f>
        <v/>
      </c>
    </row>
    <row r="140">
      <c r="D140" s="9" t="n"/>
      <c r="F140" s="10" t="n"/>
      <c r="G140" s="9">
        <f>IF($E140="Y",49,0)</f>
        <v/>
      </c>
    </row>
    <row r="141">
      <c r="D141" s="9" t="n"/>
      <c r="F141" s="10" t="n"/>
      <c r="G141" s="9">
        <f>IF($E141="Y",49,0)</f>
        <v/>
      </c>
    </row>
    <row r="142">
      <c r="D142" s="9" t="n"/>
      <c r="F142" s="10" t="n"/>
      <c r="G142" s="9">
        <f>IF($E142="Y",49,0)</f>
        <v/>
      </c>
    </row>
    <row r="143">
      <c r="D143" s="9" t="n"/>
      <c r="F143" s="10" t="n"/>
      <c r="G143" s="9">
        <f>IF($E143="Y",49,0)</f>
        <v/>
      </c>
    </row>
    <row r="144">
      <c r="D144" s="9" t="n"/>
      <c r="F144" s="10" t="n"/>
      <c r="G144" s="9">
        <f>IF($E144="Y",49,0)</f>
        <v/>
      </c>
    </row>
    <row r="145">
      <c r="D145" s="9" t="n"/>
      <c r="F145" s="10" t="n"/>
      <c r="G145" s="9">
        <f>IF($E145="Y",49,0)</f>
        <v/>
      </c>
    </row>
    <row r="146">
      <c r="D146" s="9" t="n"/>
      <c r="F146" s="10" t="n"/>
      <c r="G146" s="9">
        <f>IF($E146="Y",49,0)</f>
        <v/>
      </c>
    </row>
    <row r="147">
      <c r="D147" s="9" t="n"/>
      <c r="F147" s="10" t="n"/>
      <c r="G147" s="9">
        <f>IF($E147="Y",49,0)</f>
        <v/>
      </c>
    </row>
    <row r="148">
      <c r="D148" s="9" t="n"/>
      <c r="F148" s="10" t="n"/>
      <c r="G148" s="9">
        <f>IF($E148="Y",49,0)</f>
        <v/>
      </c>
    </row>
    <row r="149">
      <c r="D149" s="9" t="n"/>
      <c r="F149" s="10" t="n"/>
      <c r="G149" s="9">
        <f>IF($E149="Y",49,0)</f>
        <v/>
      </c>
    </row>
    <row r="150">
      <c r="D150" s="9" t="n"/>
      <c r="F150" s="10" t="n"/>
      <c r="G150" s="9">
        <f>IF($E150="Y",49,0)</f>
        <v/>
      </c>
    </row>
    <row r="151">
      <c r="D151" s="9" t="n"/>
      <c r="F151" s="10" t="n"/>
      <c r="G151" s="9">
        <f>IF($E151="Y",49,0)</f>
        <v/>
      </c>
    </row>
    <row r="152">
      <c r="D152" s="9" t="n"/>
      <c r="F152" s="10" t="n"/>
      <c r="G152" s="9">
        <f>IF($E152="Y",49,0)</f>
        <v/>
      </c>
    </row>
    <row r="153">
      <c r="D153" s="9" t="n"/>
      <c r="F153" s="10" t="n"/>
      <c r="G153" s="9">
        <f>IF($E153="Y",49,0)</f>
        <v/>
      </c>
    </row>
    <row r="154">
      <c r="D154" s="9" t="n"/>
      <c r="F154" s="10" t="n"/>
      <c r="G154" s="9">
        <f>IF($E154="Y",49,0)</f>
        <v/>
      </c>
    </row>
    <row r="155">
      <c r="D155" s="9" t="n"/>
      <c r="F155" s="10" t="n"/>
      <c r="G155" s="9">
        <f>IF($E155="Y",49,0)</f>
        <v/>
      </c>
    </row>
    <row r="156">
      <c r="D156" s="9" t="n"/>
      <c r="F156" s="10" t="n"/>
      <c r="G156" s="9">
        <f>IF($E156="Y",49,0)</f>
        <v/>
      </c>
    </row>
    <row r="157">
      <c r="D157" s="9" t="n"/>
      <c r="F157" s="10" t="n"/>
      <c r="G157" s="9">
        <f>IF($E157="Y",49,0)</f>
        <v/>
      </c>
    </row>
    <row r="158">
      <c r="D158" s="9" t="n"/>
      <c r="F158" s="10" t="n"/>
      <c r="G158" s="9">
        <f>IF($E158="Y",49,0)</f>
        <v/>
      </c>
    </row>
    <row r="159">
      <c r="D159" s="9" t="n"/>
      <c r="F159" s="10" t="n"/>
      <c r="G159" s="9">
        <f>IF($E159="Y",49,0)</f>
        <v/>
      </c>
    </row>
    <row r="160">
      <c r="D160" s="9" t="n"/>
      <c r="F160" s="10" t="n"/>
      <c r="G160" s="9">
        <f>IF($E160="Y",49,0)</f>
        <v/>
      </c>
    </row>
    <row r="161">
      <c r="D161" s="9" t="n"/>
      <c r="F161" s="10" t="n"/>
      <c r="G161" s="9">
        <f>IF($E161="Y",49,0)</f>
        <v/>
      </c>
    </row>
    <row r="162">
      <c r="D162" s="9" t="n"/>
      <c r="F162" s="10" t="n"/>
      <c r="G162" s="9">
        <f>IF($E162="Y",49,0)</f>
        <v/>
      </c>
    </row>
    <row r="163">
      <c r="D163" s="9" t="n"/>
      <c r="F163" s="10" t="n"/>
      <c r="G163" s="9">
        <f>IF($E163="Y",49,0)</f>
        <v/>
      </c>
    </row>
    <row r="164">
      <c r="D164" s="9" t="n"/>
      <c r="F164" s="10" t="n"/>
      <c r="G164" s="9">
        <f>IF($E164="Y",49,0)</f>
        <v/>
      </c>
    </row>
    <row r="165">
      <c r="D165" s="9" t="n"/>
      <c r="F165" s="10" t="n"/>
      <c r="G165" s="9">
        <f>IF($E165="Y",49,0)</f>
        <v/>
      </c>
    </row>
    <row r="166">
      <c r="D166" s="9" t="n"/>
      <c r="F166" s="10" t="n"/>
      <c r="G166" s="9">
        <f>IF($E166="Y",49,0)</f>
        <v/>
      </c>
    </row>
    <row r="167">
      <c r="D167" s="9" t="n"/>
      <c r="F167" s="10" t="n"/>
      <c r="G167" s="9">
        <f>IF($E167="Y",49,0)</f>
        <v/>
      </c>
    </row>
    <row r="168">
      <c r="D168" s="9" t="n"/>
      <c r="F168" s="10" t="n"/>
      <c r="G168" s="9">
        <f>IF($E168="Y",49,0)</f>
        <v/>
      </c>
    </row>
    <row r="169">
      <c r="D169" s="9" t="n"/>
      <c r="F169" s="10" t="n"/>
      <c r="G169" s="9">
        <f>IF($E169="Y",49,0)</f>
        <v/>
      </c>
    </row>
    <row r="170">
      <c r="D170" s="9" t="n"/>
      <c r="F170" s="10" t="n"/>
      <c r="G170" s="9">
        <f>IF($E170="Y",49,0)</f>
        <v/>
      </c>
    </row>
    <row r="171">
      <c r="D171" s="9" t="n"/>
      <c r="F171" s="10" t="n"/>
      <c r="G171" s="9">
        <f>IF($E171="Y",49,0)</f>
        <v/>
      </c>
    </row>
    <row r="172">
      <c r="D172" s="9" t="n"/>
      <c r="F172" s="10" t="n"/>
      <c r="G172" s="9">
        <f>IF($E172="Y",49,0)</f>
        <v/>
      </c>
    </row>
    <row r="173">
      <c r="D173" s="9" t="n"/>
      <c r="F173" s="10" t="n"/>
      <c r="G173" s="9">
        <f>IF($E173="Y",49,0)</f>
        <v/>
      </c>
    </row>
    <row r="174">
      <c r="D174" s="9" t="n"/>
      <c r="F174" s="10" t="n"/>
      <c r="G174" s="9">
        <f>IF($E174="Y",49,0)</f>
        <v/>
      </c>
    </row>
    <row r="175">
      <c r="D175" s="9" t="n"/>
      <c r="F175" s="10" t="n"/>
      <c r="G175" s="9">
        <f>IF($E175="Y",49,0)</f>
        <v/>
      </c>
    </row>
    <row r="176">
      <c r="D176" s="9" t="n"/>
      <c r="F176" s="10" t="n"/>
      <c r="G176" s="9">
        <f>IF($E176="Y",49,0)</f>
        <v/>
      </c>
    </row>
    <row r="177">
      <c r="D177" s="9" t="n"/>
      <c r="F177" s="10" t="n"/>
      <c r="G177" s="9">
        <f>IF($E177="Y",49,0)</f>
        <v/>
      </c>
    </row>
    <row r="178">
      <c r="D178" s="9" t="n"/>
      <c r="F178" s="10" t="n"/>
      <c r="G178" s="9">
        <f>IF($E178="Y",49,0)</f>
        <v/>
      </c>
    </row>
    <row r="179">
      <c r="D179" s="9" t="n"/>
      <c r="F179" s="10" t="n"/>
      <c r="G179" s="9">
        <f>IF($E179="Y",49,0)</f>
        <v/>
      </c>
    </row>
    <row r="180">
      <c r="D180" s="9" t="n"/>
      <c r="F180" s="10" t="n"/>
      <c r="G180" s="9">
        <f>IF($E180="Y",49,0)</f>
        <v/>
      </c>
    </row>
    <row r="181">
      <c r="D181" s="9" t="n"/>
      <c r="F181" s="10" t="n"/>
      <c r="G181" s="9">
        <f>IF($E181="Y",49,0)</f>
        <v/>
      </c>
    </row>
    <row r="182">
      <c r="D182" s="9" t="n"/>
      <c r="F182" s="10" t="n"/>
      <c r="G182" s="9">
        <f>IF($E182="Y",49,0)</f>
        <v/>
      </c>
    </row>
    <row r="183">
      <c r="D183" s="9" t="n"/>
      <c r="F183" s="10" t="n"/>
      <c r="G183" s="9">
        <f>IF($E183="Y",49,0)</f>
        <v/>
      </c>
    </row>
    <row r="184">
      <c r="D184" s="9" t="n"/>
      <c r="F184" s="10" t="n"/>
      <c r="G184" s="9">
        <f>IF($E184="Y",49,0)</f>
        <v/>
      </c>
    </row>
    <row r="185">
      <c r="D185" s="9" t="n"/>
      <c r="F185" s="10" t="n"/>
      <c r="G185" s="9">
        <f>IF($E185="Y",49,0)</f>
        <v/>
      </c>
    </row>
    <row r="186">
      <c r="D186" s="9" t="n"/>
      <c r="F186" s="10" t="n"/>
      <c r="G186" s="9">
        <f>IF($E186="Y",49,0)</f>
        <v/>
      </c>
    </row>
    <row r="187">
      <c r="D187" s="9" t="n"/>
      <c r="F187" s="10" t="n"/>
      <c r="G187" s="9">
        <f>IF($E187="Y",49,0)</f>
        <v/>
      </c>
    </row>
    <row r="188">
      <c r="D188" s="9" t="n"/>
      <c r="F188" s="10" t="n"/>
      <c r="G188" s="9">
        <f>IF($E188="Y",49,0)</f>
        <v/>
      </c>
    </row>
    <row r="189">
      <c r="D189" s="9" t="n"/>
      <c r="F189" s="10" t="n"/>
      <c r="G189" s="9">
        <f>IF($E189="Y",49,0)</f>
        <v/>
      </c>
    </row>
    <row r="190">
      <c r="D190" s="9" t="n"/>
      <c r="F190" s="10" t="n"/>
      <c r="G190" s="9">
        <f>IF($E190="Y",49,0)</f>
        <v/>
      </c>
    </row>
    <row r="191">
      <c r="D191" s="9" t="n"/>
      <c r="F191" s="10" t="n"/>
      <c r="G191" s="9">
        <f>IF($E191="Y",49,0)</f>
        <v/>
      </c>
    </row>
    <row r="192">
      <c r="D192" s="9" t="n"/>
      <c r="F192" s="10" t="n"/>
      <c r="G192" s="9">
        <f>IF($E192="Y",49,0)</f>
        <v/>
      </c>
    </row>
    <row r="193">
      <c r="D193" s="9" t="n"/>
      <c r="F193" s="10" t="n"/>
      <c r="G193" s="9">
        <f>IF($E193="Y",49,0)</f>
        <v/>
      </c>
    </row>
    <row r="194">
      <c r="D194" s="9" t="n"/>
      <c r="F194" s="10" t="n"/>
      <c r="G194" s="9">
        <f>IF($E194="Y",49,0)</f>
        <v/>
      </c>
    </row>
    <row r="195">
      <c r="D195" s="9" t="n"/>
      <c r="F195" s="10" t="n"/>
      <c r="G195" s="9">
        <f>IF($E195="Y",49,0)</f>
        <v/>
      </c>
    </row>
    <row r="196">
      <c r="D196" s="9" t="n"/>
      <c r="F196" s="10" t="n"/>
      <c r="G196" s="9">
        <f>IF($E196="Y",49,0)</f>
        <v/>
      </c>
    </row>
    <row r="197">
      <c r="D197" s="9" t="n"/>
      <c r="F197" s="10" t="n"/>
      <c r="G197" s="9">
        <f>IF($E197="Y",49,0)</f>
        <v/>
      </c>
    </row>
    <row r="198">
      <c r="D198" s="9" t="n"/>
      <c r="F198" s="10" t="n"/>
      <c r="G198" s="9">
        <f>IF($E198="Y",49,0)</f>
        <v/>
      </c>
    </row>
    <row r="199">
      <c r="D199" s="9" t="n"/>
      <c r="F199" s="10" t="n"/>
      <c r="G199" s="9">
        <f>IF($E199="Y",49,0)</f>
        <v/>
      </c>
    </row>
    <row r="200">
      <c r="D200" s="9" t="n"/>
      <c r="F200" s="10" t="n"/>
      <c r="G200" s="9">
        <f>IF($E200="Y",49,0)</f>
        <v/>
      </c>
    </row>
    <row r="201">
      <c r="D201" s="9" t="n"/>
      <c r="F201" s="10" t="n"/>
      <c r="G201" s="9">
        <f>IF($E201="Y",49,0)</f>
        <v/>
      </c>
    </row>
  </sheetData>
  <autoFilter ref="A1:I1"/>
  <dataValidations count="1">
    <dataValidation sqref="E2:E500" showDropDown="0" showInputMessage="0" showErrorMessage="0" allowBlank="1" promptTitle="Care Plan" prompt="Y if on $49/mo care plan, else N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6" customWidth="1" min="3" max="3"/>
    <col width="30" customWidth="1" min="4" max="4"/>
    <col width="18" customWidth="1" min="5" max="5"/>
  </cols>
  <sheetData>
    <row r="1">
      <c r="A1" s="11" t="inlineStr">
        <is>
          <t>PEAK 11 MEDIA — DEAL TRACKER DASHBOARD</t>
        </is>
      </c>
    </row>
    <row r="2">
      <c r="A2" s="12" t="inlineStr">
        <is>
          <t>Auto-computed from Pipeline + Clients tabs. Edit those; this updates itself.</t>
        </is>
      </c>
    </row>
    <row r="4">
      <c r="A4" s="13" t="inlineStr">
        <is>
          <t>PIPELINE BY STAGE</t>
        </is>
      </c>
      <c r="B4" s="14" t="n"/>
      <c r="D4" s="13" t="inlineStr">
        <is>
          <t>KEY METRICS</t>
        </is>
      </c>
      <c r="E4" s="14" t="n"/>
    </row>
    <row r="5">
      <c r="A5" s="15" t="inlineStr">
        <is>
          <t>New</t>
        </is>
      </c>
      <c r="B5" s="14">
        <f>COUNTIF(Pipeline!$G$2:$G$15,"New")</f>
        <v/>
      </c>
      <c r="D5" s="16" t="inlineStr">
        <is>
          <t>Calls made (Called+ stages)</t>
        </is>
      </c>
      <c r="E5" s="16">
        <f>COUNTIF(Pipeline!$G$2:$G$15,"Called")+COUNTIF(Pipeline!$G$2:$G$15,"Interested")+COUNTIF(Pipeline!$G$2:$G$15,"Building")+COUNTIF(Pipeline!$G$2:$G$15,"Sent")+COUNTIF(Pipeline!$G$2:$G$15,"Won")+COUNTIF(Pipeline!$G$2:$G$15,"Lost")</f>
        <v/>
      </c>
    </row>
    <row r="6">
      <c r="A6" s="17" t="inlineStr">
        <is>
          <t>Called</t>
        </is>
      </c>
      <c r="B6" s="14">
        <f>COUNTIF(Pipeline!$G$2:$G$15,"Called")</f>
        <v/>
      </c>
      <c r="D6" s="16" t="inlineStr">
        <is>
          <t>Deals won</t>
        </is>
      </c>
      <c r="E6" s="16">
        <f>COUNTIF(Pipeline!$G$2:$G$15,"Won")</f>
        <v/>
      </c>
    </row>
    <row r="7">
      <c r="A7" s="18" t="inlineStr">
        <is>
          <t>Interested</t>
        </is>
      </c>
      <c r="B7" s="14">
        <f>COUNTIF(Pipeline!$G$2:$G$15,"Interested")</f>
        <v/>
      </c>
      <c r="D7" s="16" t="inlineStr">
        <is>
          <t>Deals lost</t>
        </is>
      </c>
      <c r="E7" s="16">
        <f>COUNTIF(Pipeline!$G$2:$G$15,"Lost")</f>
        <v/>
      </c>
    </row>
    <row r="8">
      <c r="A8" s="19" t="inlineStr">
        <is>
          <t>Building</t>
        </is>
      </c>
      <c r="B8" s="14">
        <f>COUNTIF(Pipeline!$G$2:$G$15,"Building")</f>
        <v/>
      </c>
      <c r="D8" s="16" t="inlineStr">
        <is>
          <t>Calls-to-close rate</t>
        </is>
      </c>
      <c r="E8" s="20">
        <f>IF(E5=0,0,E6/E5)</f>
        <v/>
      </c>
    </row>
    <row r="9">
      <c r="A9" s="21" t="inlineStr">
        <is>
          <t>Sent</t>
        </is>
      </c>
      <c r="B9" s="14">
        <f>COUNTIF(Pipeline!$G$2:$G$15,"Sent")</f>
        <v/>
      </c>
      <c r="D9" s="16" t="inlineStr">
        <is>
          <t>One-time revenue (won deals)</t>
        </is>
      </c>
      <c r="E9" s="22">
        <f>SUMIF(Pipeline!$G$2:$G$15,"Won",Pipeline!$K$2:$K$15)+SUM(Clients!$D$2:$D$201)</f>
        <v/>
      </c>
    </row>
    <row r="10">
      <c r="A10" s="23" t="inlineStr">
        <is>
          <t>Won</t>
        </is>
      </c>
      <c r="B10" s="14">
        <f>COUNTIF(Pipeline!$G$2:$G$15,"Won")</f>
        <v/>
      </c>
      <c r="D10" s="16" t="inlineStr">
        <is>
          <t>Active care plans</t>
        </is>
      </c>
      <c r="E10" s="16">
        <f>COUNTIF(Clients!$E$2:$E$201,"Y")</f>
        <v/>
      </c>
    </row>
    <row r="11">
      <c r="A11" s="24" t="inlineStr">
        <is>
          <t>Lost</t>
        </is>
      </c>
      <c r="B11" s="14">
        <f>COUNTIF(Pipeline!$G$2:$G$15,"Lost")</f>
        <v/>
      </c>
      <c r="D11" s="16" t="inlineStr">
        <is>
          <t>Total MRR</t>
        </is>
      </c>
      <c r="E11" s="22">
        <f>SUM(Clients!$G$2:$G$201)</f>
        <v/>
      </c>
    </row>
    <row r="12">
      <c r="A12" s="16" t="inlineStr">
        <is>
          <t>Total in pipeline</t>
        </is>
      </c>
      <c r="B12" s="14">
        <f>COUNTA(Pipeline!$G$2:$G$15)</f>
        <v/>
      </c>
      <c r="D12" s="16" t="inlineStr">
        <is>
          <t>Annual recurring (MRR x12)</t>
        </is>
      </c>
      <c r="E12" s="22">
        <f>E11*12</f>
        <v/>
      </c>
    </row>
    <row r="13">
      <c r="D13" s="16" t="inlineStr">
        <is>
          <t>MRR goal</t>
        </is>
      </c>
      <c r="E13" s="22" t="n">
        <v>5000</v>
      </c>
    </row>
    <row r="14">
      <c r="D14" s="16" t="inlineStr">
        <is>
          <t>Progress vs $5k/mo goal</t>
        </is>
      </c>
      <c r="E14" s="20">
        <f>IF(E13=0,0,E11/E13)</f>
        <v/>
      </c>
    </row>
    <row r="16">
      <c r="D16" s="12" t="inlineStr">
        <is>
          <t>Care plan rate: $49/mo each. Goal = $5000/mo recurring.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2026-06-17T09:56:54Z</dcterms:created>
  <dcterms:modified xmlns:dcterms="http://purl.org/dc/terms/" xmlns:xsi="http://www.w3.org/2001/XMLSchema-instance" xsi:type="dcterms:W3CDTF">2026-06-17T09:56:54Z</dcterms:modified>
</cp:coreProperties>
</file>