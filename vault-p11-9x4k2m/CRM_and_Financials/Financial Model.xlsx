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onservative" sheetId="2" state="visible" r:id="rId2"/>
    <sheet xmlns:r="http://schemas.openxmlformats.org/officeDocument/2006/relationships" name="Realistic" sheetId="3" state="visible" r:id="rId3"/>
    <sheet xmlns:r="http://schemas.openxmlformats.org/officeDocument/2006/relationships" name="Optimistic" sheetId="4" state="visible" r:id="rId4"/>
    <sheet xmlns:r="http://schemas.openxmlformats.org/officeDocument/2006/relationships" name="MRR Engine" sheetId="5" state="visible" r:id="rId5"/>
    <sheet xmlns:r="http://schemas.openxmlformats.org/officeDocument/2006/relationships" name="Break-Evens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"/>
  </numFmts>
  <fonts count="18">
    <font>
      <name val="Calibri"/>
      <family val="2"/>
      <color theme="1"/>
      <sz val="11"/>
      <scheme val="minor"/>
    </font>
    <font>
      <name val="Calibri"/>
      <b val="1"/>
      <color rgb="001F2A44"/>
      <sz val="18"/>
    </font>
    <font>
      <name val="Calibri"/>
      <color rgb="005B6470"/>
      <sz val="10.5"/>
    </font>
    <font>
      <b val="1"/>
      <color rgb="00C0392B"/>
      <sz val="12"/>
    </font>
    <font>
      <name val="Calibri"/>
      <b val="1"/>
      <color rgb="00FFFFFF"/>
      <sz val="11"/>
    </font>
    <font>
      <sz val="10"/>
    </font>
    <font>
      <b val="1"/>
      <sz val="10"/>
    </font>
    <font>
      <color rgb="005B6470"/>
      <sz val="10"/>
    </font>
    <font>
      <color rgb="005B6470"/>
      <sz val="9.5"/>
    </font>
    <font>
      <b val="1"/>
      <color rgb="001E7A46"/>
      <sz val="12"/>
    </font>
    <font>
      <b val="1"/>
      <color rgb="001E7A46"/>
    </font>
    <font>
      <i val="1"/>
      <color rgb="001E7A46"/>
      <sz val="9.5"/>
    </font>
    <font>
      <b val="1"/>
    </font>
    <font>
      <b val="1"/>
      <color rgb="00FFFFFF"/>
    </font>
    <font>
      <color rgb="00000000"/>
    </font>
    <font>
      <i val="1"/>
      <color rgb="005B6470"/>
      <sz val="9.5"/>
    </font>
    <font>
      <b val="1"/>
      <color rgb="00C0392B"/>
      <sz val="11"/>
    </font>
    <font>
      <color rgb="001E7A46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6D5"/>
      </patternFill>
    </fill>
    <fill>
      <patternFill patternType="solid">
        <fgColor rgb="00E3F1E8"/>
      </patternFill>
    </fill>
    <fill>
      <patternFill patternType="solid">
        <fgColor rgb="00EEF1F5"/>
      </patternFill>
    </fill>
    <fill>
      <patternFill patternType="solid">
        <fgColor rgb="001E7A46"/>
      </patternFill>
    </fill>
  </fills>
  <borders count="2">
    <border>
      <left/>
      <right/>
      <top/>
      <bottom/>
      <diagonal/>
    </border>
    <border>
      <left style="thin">
        <color rgb="00C9D0DA"/>
      </left>
      <right style="thin">
        <color rgb="00C9D0DA"/>
      </right>
      <top style="thin">
        <color rgb="00C9D0DA"/>
      </top>
      <bottom style="thin">
        <color rgb="00C9D0DA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6" fillId="3" borderId="1" applyAlignment="1" pivotButton="0" quotePrefix="0" xfId="0">
      <alignment horizontal="center"/>
    </xf>
    <xf numFmtId="0" fontId="7" fillId="0" borderId="1" pivotButton="0" quotePrefix="0" xfId="0"/>
    <xf numFmtId="0" fontId="8" fillId="0" borderId="1" pivotButton="0" quotePrefix="0" xfId="0"/>
    <xf numFmtId="165" fontId="6" fillId="3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1" fontId="10" fillId="0" borderId="0" pivotButton="0" quotePrefix="0" xfId="0"/>
    <xf numFmtId="0" fontId="11" fillId="0" borderId="0" pivotButton="0" quotePrefix="0" xfId="0"/>
    <xf numFmtId="0" fontId="6" fillId="0" borderId="0" pivotButton="0" quotePrefix="0" xfId="0"/>
    <xf numFmtId="165" fontId="1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13" fillId="2" borderId="0" pivotButton="0" quotePrefix="0" xfId="0"/>
    <xf numFmtId="164" fontId="13" fillId="6" borderId="0" applyAlignment="1" pivotButton="0" quotePrefix="0" xfId="0">
      <alignment horizontal="center"/>
    </xf>
    <xf numFmtId="164" fontId="13" fillId="2" borderId="0" applyAlignment="1" pivotButton="0" quotePrefix="0" xfId="0">
      <alignment horizontal="center"/>
    </xf>
    <xf numFmtId="0" fontId="13" fillId="2" borderId="1" applyAlignment="1" pivotButton="0" quotePrefix="0" xfId="0">
      <alignment horizontal="center"/>
    </xf>
    <xf numFmtId="0" fontId="14" fillId="0" borderId="1" pivotButton="0" quotePrefix="0" xfId="0"/>
    <xf numFmtId="0" fontId="0" fillId="4" borderId="1" applyAlignment="1" pivotButton="0" quotePrefix="0" xfId="0">
      <alignment horizontal="center"/>
    </xf>
    <xf numFmtId="0" fontId="10" fillId="4" borderId="1" pivotButton="0" quotePrefix="0" xfId="0"/>
    <xf numFmtId="0" fontId="15" fillId="0" borderId="0" pivotButton="0" quotePrefix="0" xfId="0"/>
    <xf numFmtId="0" fontId="16" fillId="0" borderId="0" pivotButton="0" quotePrefix="0" xfId="0"/>
    <xf numFmtId="164" fontId="0" fillId="0" borderId="0" pivotButton="0" quotePrefix="0" xfId="0"/>
    <xf numFmtId="166" fontId="10" fillId="0" borderId="0" pivotButton="0" quotePrefix="0" xfId="0"/>
    <xf numFmtId="166" fontId="17" fillId="0" borderId="0" pivotButton="0" quotePrefix="0" xfId="0"/>
    <xf numFmtId="165" fontId="0" fillId="0" borderId="0" pivotButton="0" quotePrefix="0" xfId="0"/>
    <xf numFmtId="164" fontId="10" fillId="0" borderId="0" pivotButton="0" quotePrefix="0" xfId="0"/>
    <xf numFmtId="165" fontId="0" fillId="0" borderId="1" applyAlignment="1" pivotButton="0" quotePrefix="0" xfId="0">
      <alignment horizontal="center"/>
    </xf>
    <xf numFmtId="0" fontId="12" fillId="4" borderId="1" applyAlignment="1" pivotButton="0" quotePrefix="0" xfId="0">
      <alignment horizontal="center"/>
    </xf>
    <xf numFmtId="165" fontId="12" fillId="4" borderId="1" applyAlignment="1" pivotButton="0" quotePrefix="0" xfId="0">
      <alignment horizontal="center"/>
    </xf>
    <xf numFmtId="164" fontId="1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8" customWidth="1" min="3" max="3"/>
    <col width="44" customWidth="1" min="4" max="4"/>
  </cols>
  <sheetData>
    <row r="1" ht="24" customHeight="1">
      <c r="A1" s="1" t="inlineStr">
        <is>
          <t>Peak 11 Media — Financial Model</t>
        </is>
      </c>
    </row>
    <row r="2">
      <c r="A2" s="2" t="inlineStr">
        <is>
          <t>Edit the yellow cells. Every sheet recalculates live. Updated June 2026.</t>
        </is>
      </c>
    </row>
    <row r="4">
      <c r="A4" s="3" t="inlineStr">
        <is>
          <t>INPUT ASSUMPTIONS</t>
        </is>
      </c>
    </row>
    <row r="5">
      <c r="A5" s="4" t="inlineStr">
        <is>
          <t>Assumption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5" t="inlineStr">
        <is>
          <t>Avg one-time build fee</t>
        </is>
      </c>
      <c r="B6" s="6" t="n">
        <v>1050</v>
      </c>
      <c r="C6" s="7" t="inlineStr">
        <is>
          <t>$</t>
        </is>
      </c>
      <c r="D6" s="8" t="inlineStr">
        <is>
          <t>Starter $900 / Standard $1,200 blended</t>
        </is>
      </c>
    </row>
    <row r="7">
      <c r="A7" s="5" t="inlineStr">
        <is>
          <t>Care plan price</t>
        </is>
      </c>
      <c r="B7" s="6" t="n">
        <v>49</v>
      </c>
      <c r="C7" s="7" t="inlineStr">
        <is>
          <t>$/mo</t>
        </is>
      </c>
      <c r="D7" s="8" t="inlineStr">
        <is>
          <t>Recurring hosting + edits + support</t>
        </is>
      </c>
    </row>
    <row r="8">
      <c r="A8" s="5" t="inlineStr">
        <is>
          <t>Care-plan attach rate</t>
        </is>
      </c>
      <c r="B8" s="9" t="n">
        <v>0.4</v>
      </c>
      <c r="C8" s="7" t="inlineStr">
        <is>
          <t>%</t>
        </is>
      </c>
      <c r="D8" s="8" t="inlineStr">
        <is>
          <t>Share of new clients who take the plan</t>
        </is>
      </c>
    </row>
    <row r="9">
      <c r="A9" s="5" t="inlineStr">
        <is>
          <t>Close rate (cold contacted)</t>
        </is>
      </c>
      <c r="B9" s="9" t="n">
        <v>0.03</v>
      </c>
      <c r="C9" s="7" t="inlineStr">
        <is>
          <t>%</t>
        </is>
      </c>
      <c r="D9" s="8" t="inlineStr">
        <is>
          <t>Of all contacted leads; demo-engaged far higher</t>
        </is>
      </c>
    </row>
    <row r="10">
      <c r="A10" s="5" t="inlineStr">
        <is>
          <t>Demo-engaged close rate</t>
        </is>
      </c>
      <c r="B10" s="9" t="n">
        <v>0.2</v>
      </c>
      <c r="C10" s="7" t="inlineStr">
        <is>
          <t>%</t>
        </is>
      </c>
      <c r="D10" s="8" t="inlineStr">
        <is>
          <t>Of prospects who view a free demo build</t>
        </is>
      </c>
    </row>
    <row r="11">
      <c r="A11" s="5" t="inlineStr">
        <is>
          <t>Monthly care-plan churn</t>
        </is>
      </c>
      <c r="B11" s="9" t="n">
        <v>0.03</v>
      </c>
      <c r="C11" s="7" t="inlineStr">
        <is>
          <t>%</t>
        </is>
      </c>
      <c r="D11" s="8" t="inlineStr">
        <is>
          <t>Plans cancelled per month</t>
        </is>
      </c>
    </row>
    <row r="12">
      <c r="A12" s="5" t="inlineStr">
        <is>
          <t>Domain cost (pass-through)</t>
        </is>
      </c>
      <c r="B12" s="6" t="n">
        <v>12</v>
      </c>
      <c r="C12" s="7" t="inlineStr">
        <is>
          <t>$/yr</t>
        </is>
      </c>
      <c r="D12" s="8" t="inlineStr">
        <is>
          <t>Billed through to client; ~net zero</t>
        </is>
      </c>
    </row>
    <row r="13">
      <c r="A13" s="5" t="inlineStr">
        <is>
          <t>Stripe processing</t>
        </is>
      </c>
      <c r="B13" s="9" t="n">
        <v>0.03</v>
      </c>
      <c r="C13" s="7" t="inlineStr">
        <is>
          <t>%</t>
        </is>
      </c>
      <c r="D13" s="8" t="inlineStr">
        <is>
          <t>Payment fee on all collected revenue</t>
        </is>
      </c>
    </row>
    <row r="14">
      <c r="A14" s="5" t="inlineStr">
        <is>
          <t>Closer commission</t>
        </is>
      </c>
      <c r="B14" s="9" t="n">
        <v>0.15</v>
      </c>
      <c r="C14" s="7" t="inlineStr">
        <is>
          <t>%</t>
        </is>
      </c>
      <c r="D14" s="8" t="inlineStr">
        <is>
          <t>On one-time build revenue (10-20%)</t>
        </is>
      </c>
    </row>
    <row r="15">
      <c r="A15" s="5" t="inlineStr">
        <is>
          <t>VA cost</t>
        </is>
      </c>
      <c r="B15" s="6" t="n">
        <v>600</v>
      </c>
      <c r="C15" s="7" t="inlineStr">
        <is>
          <t>$/mo</t>
        </is>
      </c>
      <c r="D15" s="8" t="inlineStr">
        <is>
          <t>Lead-gen / admin virtual assistant ($400-800)</t>
        </is>
      </c>
    </row>
    <row r="16">
      <c r="A16" s="5" t="inlineStr">
        <is>
          <t>Hosting cost</t>
        </is>
      </c>
      <c r="B16" s="6" t="n">
        <v>0</v>
      </c>
      <c r="C16" s="7" t="inlineStr">
        <is>
          <t>$/mo</t>
        </is>
      </c>
      <c r="D16" s="8" t="inlineStr">
        <is>
          <t>GitHub Pages — free</t>
        </is>
      </c>
    </row>
    <row r="17">
      <c r="A17" s="5" t="inlineStr">
        <is>
          <t>Tooling cost</t>
        </is>
      </c>
      <c r="B17" s="6" t="n">
        <v>0</v>
      </c>
      <c r="C17" s="7" t="inlineStr">
        <is>
          <t>$/mo</t>
        </is>
      </c>
      <c r="D17" s="8" t="inlineStr">
        <is>
          <t>Near zero</t>
        </is>
      </c>
    </row>
    <row r="19">
      <c r="A19" s="3" t="inlineStr">
        <is>
          <t>SCENARIO LEVER</t>
        </is>
      </c>
    </row>
    <row r="20">
      <c r="A20" s="10" t="inlineStr">
        <is>
          <t>The three scenario tabs differ by LEADS CONTACTED / MONTH (capacity ramp) and close rate.</t>
        </is>
      </c>
    </row>
    <row r="21">
      <c r="A21" s="10" t="inlineStr">
        <is>
          <t>Conservative = solo, modest dials @2.5% close. Realistic = ramping help @3%. Optimistic = closer+VA, aggressive volume @3.5%.</t>
        </is>
      </c>
    </row>
    <row r="23">
      <c r="A23" s="11" t="inlineStr">
        <is>
          <t>MRR ENGINE (steady-state targets)</t>
        </is>
      </c>
    </row>
    <row r="24">
      <c r="A24" s="12" t="inlineStr">
        <is>
          <t>Active care plans for $5,000 MRR:</t>
        </is>
      </c>
      <c r="B24" s="13">
        <f>5000/Assumptions!$B$7</f>
        <v/>
      </c>
    </row>
    <row r="25">
      <c r="A25" s="12" t="inlineStr">
        <is>
          <t>Active care plans for $20,000 MRR:</t>
        </is>
      </c>
      <c r="B25" s="13">
        <f>20000/Assumptions!$B$7</f>
        <v/>
      </c>
    </row>
    <row r="26">
      <c r="A26" s="14" t="inlineStr">
        <is>
          <t>Once these plans are active, that income is recurring and largely passive.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9" customWidth="1" min="3" max="3"/>
    <col width="9" customWidth="1" min="4" max="4"/>
    <col width="9" customWidth="1" min="5" max="5"/>
    <col width="11" customWidth="1" min="6" max="6"/>
    <col width="13" customWidth="1" min="7" max="7"/>
    <col width="11" customWidth="1" min="8" max="8"/>
    <col width="11" customWidth="1" min="9" max="9"/>
    <col width="12" customWidth="1" min="10" max="10"/>
    <col width="11" customWidth="1" min="11" max="11"/>
  </cols>
  <sheetData>
    <row r="1" ht="24" customHeight="1">
      <c r="A1" s="1" t="inlineStr">
        <is>
          <t>Monthly Build-Up — Conservative</t>
        </is>
      </c>
    </row>
    <row r="2">
      <c r="A2" s="2" t="inlineStr">
        <is>
          <t>Leads -&gt; closes -&gt; one-time + new care plans -&gt; CUMULATIVE MRR (compounds) -&gt; total revenue.</t>
        </is>
      </c>
    </row>
    <row r="4">
      <c r="A4" s="15" t="inlineStr">
        <is>
          <t>Close rate (this scenario):</t>
        </is>
      </c>
      <c r="B4" s="16" t="n">
        <v>0.025</v>
      </c>
    </row>
    <row r="6" ht="30" customHeight="1">
      <c r="A6" s="4" t="inlineStr">
        <is>
          <t>Month</t>
        </is>
      </c>
      <c r="B6" s="4" t="inlineStr">
        <is>
          <t>Leads
contacted</t>
        </is>
      </c>
      <c r="C6" s="4" t="inlineStr">
        <is>
          <t>Closes</t>
        </is>
      </c>
      <c r="D6" s="4" t="inlineStr">
        <is>
          <t>New care
plans</t>
        </is>
      </c>
      <c r="E6" s="4" t="inlineStr">
        <is>
          <t>Churned
plans</t>
        </is>
      </c>
      <c r="F6" s="4" t="inlineStr">
        <is>
          <t>Active care
plans</t>
        </is>
      </c>
      <c r="G6" s="4" t="inlineStr">
        <is>
          <t>MRR
(cumulative)</t>
        </is>
      </c>
      <c r="H6" s="4" t="inlineStr">
        <is>
          <t>One-time
revenue</t>
        </is>
      </c>
      <c r="I6" s="4" t="inlineStr">
        <is>
          <t>Total
revenue</t>
        </is>
      </c>
      <c r="J6" s="4" t="inlineStr">
        <is>
          <t>Stripe +
comm cost</t>
        </is>
      </c>
      <c r="K6" s="4" t="inlineStr">
        <is>
          <t>Net
revenue</t>
        </is>
      </c>
    </row>
    <row r="7">
      <c r="A7" s="17" t="n">
        <v>1</v>
      </c>
      <c r="B7" s="18" t="n">
        <v>120</v>
      </c>
      <c r="C7" s="19">
        <f>B7*$B$4</f>
        <v/>
      </c>
      <c r="D7" s="19">
        <f>C7*Assumptions!$B$8</f>
        <v/>
      </c>
      <c r="E7" s="19" t="n">
        <v>0</v>
      </c>
      <c r="F7" s="19">
        <f>D7-E7</f>
        <v/>
      </c>
      <c r="G7" s="20">
        <f>F7*Assumptions!$B$7</f>
        <v/>
      </c>
      <c r="H7" s="21">
        <f>C7*Assumptions!$B$6</f>
        <v/>
      </c>
      <c r="I7" s="22">
        <f>G7+H7</f>
        <v/>
      </c>
      <c r="J7" s="21">
        <f>I7*Assumptions!$B$13+H7*Assumptions!$B$14+Assumptions!$B$15</f>
        <v/>
      </c>
      <c r="K7" s="21">
        <f>I7-J7</f>
        <v/>
      </c>
    </row>
    <row r="8">
      <c r="A8" s="17" t="n">
        <v>2</v>
      </c>
      <c r="B8" s="18" t="n">
        <v>140</v>
      </c>
      <c r="C8" s="19">
        <f>B8*$B$4</f>
        <v/>
      </c>
      <c r="D8" s="19">
        <f>C8*Assumptions!$B$8</f>
        <v/>
      </c>
      <c r="E8" s="19">
        <f>F7*Assumptions!$B$11</f>
        <v/>
      </c>
      <c r="F8" s="19">
        <f>F7-E8+D8</f>
        <v/>
      </c>
      <c r="G8" s="20">
        <f>F8*Assumptions!$B$7</f>
        <v/>
      </c>
      <c r="H8" s="21">
        <f>C8*Assumptions!$B$6</f>
        <v/>
      </c>
      <c r="I8" s="22">
        <f>G8+H8</f>
        <v/>
      </c>
      <c r="J8" s="21">
        <f>I8*Assumptions!$B$13+H8*Assumptions!$B$14+Assumptions!$B$15</f>
        <v/>
      </c>
      <c r="K8" s="21">
        <f>I8-J8</f>
        <v/>
      </c>
    </row>
    <row r="9">
      <c r="A9" s="17" t="n">
        <v>3</v>
      </c>
      <c r="B9" s="18" t="n">
        <v>150</v>
      </c>
      <c r="C9" s="19">
        <f>B9*$B$4</f>
        <v/>
      </c>
      <c r="D9" s="19">
        <f>C9*Assumptions!$B$8</f>
        <v/>
      </c>
      <c r="E9" s="19">
        <f>F8*Assumptions!$B$11</f>
        <v/>
      </c>
      <c r="F9" s="19">
        <f>F8-E9+D9</f>
        <v/>
      </c>
      <c r="G9" s="20">
        <f>F9*Assumptions!$B$7</f>
        <v/>
      </c>
      <c r="H9" s="21">
        <f>C9*Assumptions!$B$6</f>
        <v/>
      </c>
      <c r="I9" s="22">
        <f>G9+H9</f>
        <v/>
      </c>
      <c r="J9" s="21">
        <f>I9*Assumptions!$B$13+H9*Assumptions!$B$14+Assumptions!$B$15</f>
        <v/>
      </c>
      <c r="K9" s="21">
        <f>I9-J9</f>
        <v/>
      </c>
    </row>
    <row r="10">
      <c r="A10" s="17" t="n">
        <v>4</v>
      </c>
      <c r="B10" s="18" t="n">
        <v>160</v>
      </c>
      <c r="C10" s="19">
        <f>B10*$B$4</f>
        <v/>
      </c>
      <c r="D10" s="19">
        <f>C10*Assumptions!$B$8</f>
        <v/>
      </c>
      <c r="E10" s="19">
        <f>F9*Assumptions!$B$11</f>
        <v/>
      </c>
      <c r="F10" s="19">
        <f>F9-E10+D10</f>
        <v/>
      </c>
      <c r="G10" s="20">
        <f>F10*Assumptions!$B$7</f>
        <v/>
      </c>
      <c r="H10" s="21">
        <f>C10*Assumptions!$B$6</f>
        <v/>
      </c>
      <c r="I10" s="22">
        <f>G10+H10</f>
        <v/>
      </c>
      <c r="J10" s="21">
        <f>I10*Assumptions!$B$13+H10*Assumptions!$B$14+Assumptions!$B$15</f>
        <v/>
      </c>
      <c r="K10" s="21">
        <f>I10-J10</f>
        <v/>
      </c>
    </row>
    <row r="11">
      <c r="A11" s="17" t="n">
        <v>5</v>
      </c>
      <c r="B11" s="18" t="n">
        <v>170</v>
      </c>
      <c r="C11" s="19">
        <f>B11*$B$4</f>
        <v/>
      </c>
      <c r="D11" s="19">
        <f>C11*Assumptions!$B$8</f>
        <v/>
      </c>
      <c r="E11" s="19">
        <f>F10*Assumptions!$B$11</f>
        <v/>
      </c>
      <c r="F11" s="19">
        <f>F10-E11+D11</f>
        <v/>
      </c>
      <c r="G11" s="20">
        <f>F11*Assumptions!$B$7</f>
        <v/>
      </c>
      <c r="H11" s="21">
        <f>C11*Assumptions!$B$6</f>
        <v/>
      </c>
      <c r="I11" s="22">
        <f>G11+H11</f>
        <v/>
      </c>
      <c r="J11" s="21">
        <f>I11*Assumptions!$B$13+H11*Assumptions!$B$14+Assumptions!$B$15</f>
        <v/>
      </c>
      <c r="K11" s="21">
        <f>I11-J11</f>
        <v/>
      </c>
    </row>
    <row r="12">
      <c r="A12" s="17" t="n">
        <v>6</v>
      </c>
      <c r="B12" s="18" t="n">
        <v>180</v>
      </c>
      <c r="C12" s="19">
        <f>B12*$B$4</f>
        <v/>
      </c>
      <c r="D12" s="19">
        <f>C12*Assumptions!$B$8</f>
        <v/>
      </c>
      <c r="E12" s="19">
        <f>F11*Assumptions!$B$11</f>
        <v/>
      </c>
      <c r="F12" s="19">
        <f>F11-E12+D12</f>
        <v/>
      </c>
      <c r="G12" s="20">
        <f>F12*Assumptions!$B$7</f>
        <v/>
      </c>
      <c r="H12" s="21">
        <f>C12*Assumptions!$B$6</f>
        <v/>
      </c>
      <c r="I12" s="22">
        <f>G12+H12</f>
        <v/>
      </c>
      <c r="J12" s="21">
        <f>I12*Assumptions!$B$13+H12*Assumptions!$B$14+Assumptions!$B$15</f>
        <v/>
      </c>
      <c r="K12" s="21">
        <f>I12-J12</f>
        <v/>
      </c>
    </row>
    <row r="13">
      <c r="A13" s="17" t="n">
        <v>7</v>
      </c>
      <c r="B13" s="18" t="n">
        <v>190</v>
      </c>
      <c r="C13" s="19">
        <f>B13*$B$4</f>
        <v/>
      </c>
      <c r="D13" s="19">
        <f>C13*Assumptions!$B$8</f>
        <v/>
      </c>
      <c r="E13" s="19">
        <f>F12*Assumptions!$B$11</f>
        <v/>
      </c>
      <c r="F13" s="19">
        <f>F12-E13+D13</f>
        <v/>
      </c>
      <c r="G13" s="20">
        <f>F13*Assumptions!$B$7</f>
        <v/>
      </c>
      <c r="H13" s="21">
        <f>C13*Assumptions!$B$6</f>
        <v/>
      </c>
      <c r="I13" s="22">
        <f>G13+H13</f>
        <v/>
      </c>
      <c r="J13" s="21">
        <f>I13*Assumptions!$B$13+H13*Assumptions!$B$14+Assumptions!$B$15</f>
        <v/>
      </c>
      <c r="K13" s="21">
        <f>I13-J13</f>
        <v/>
      </c>
    </row>
    <row r="14">
      <c r="A14" s="17" t="n">
        <v>8</v>
      </c>
      <c r="B14" s="18" t="n">
        <v>200</v>
      </c>
      <c r="C14" s="19">
        <f>B14*$B$4</f>
        <v/>
      </c>
      <c r="D14" s="19">
        <f>C14*Assumptions!$B$8</f>
        <v/>
      </c>
      <c r="E14" s="19">
        <f>F13*Assumptions!$B$11</f>
        <v/>
      </c>
      <c r="F14" s="19">
        <f>F13-E14+D14</f>
        <v/>
      </c>
      <c r="G14" s="20">
        <f>F14*Assumptions!$B$7</f>
        <v/>
      </c>
      <c r="H14" s="21">
        <f>C14*Assumptions!$B$6</f>
        <v/>
      </c>
      <c r="I14" s="22">
        <f>G14+H14</f>
        <v/>
      </c>
      <c r="J14" s="21">
        <f>I14*Assumptions!$B$13+H14*Assumptions!$B$14+Assumptions!$B$15</f>
        <v/>
      </c>
      <c r="K14" s="21">
        <f>I14-J14</f>
        <v/>
      </c>
    </row>
    <row r="15">
      <c r="A15" s="17" t="n">
        <v>9</v>
      </c>
      <c r="B15" s="18" t="n">
        <v>210</v>
      </c>
      <c r="C15" s="19">
        <f>B15*$B$4</f>
        <v/>
      </c>
      <c r="D15" s="19">
        <f>C15*Assumptions!$B$8</f>
        <v/>
      </c>
      <c r="E15" s="19">
        <f>F14*Assumptions!$B$11</f>
        <v/>
      </c>
      <c r="F15" s="19">
        <f>F14-E15+D15</f>
        <v/>
      </c>
      <c r="G15" s="20">
        <f>F15*Assumptions!$B$7</f>
        <v/>
      </c>
      <c r="H15" s="21">
        <f>C15*Assumptions!$B$6</f>
        <v/>
      </c>
      <c r="I15" s="22">
        <f>G15+H15</f>
        <v/>
      </c>
      <c r="J15" s="21">
        <f>I15*Assumptions!$B$13+H15*Assumptions!$B$14+Assumptions!$B$15</f>
        <v/>
      </c>
      <c r="K15" s="21">
        <f>I15-J15</f>
        <v/>
      </c>
    </row>
    <row r="16">
      <c r="A16" s="17" t="n">
        <v>10</v>
      </c>
      <c r="B16" s="18" t="n">
        <v>220</v>
      </c>
      <c r="C16" s="19">
        <f>B16*$B$4</f>
        <v/>
      </c>
      <c r="D16" s="19">
        <f>C16*Assumptions!$B$8</f>
        <v/>
      </c>
      <c r="E16" s="19">
        <f>F15*Assumptions!$B$11</f>
        <v/>
      </c>
      <c r="F16" s="19">
        <f>F15-E16+D16</f>
        <v/>
      </c>
      <c r="G16" s="20">
        <f>F16*Assumptions!$B$7</f>
        <v/>
      </c>
      <c r="H16" s="21">
        <f>C16*Assumptions!$B$6</f>
        <v/>
      </c>
      <c r="I16" s="22">
        <f>G16+H16</f>
        <v/>
      </c>
      <c r="J16" s="21">
        <f>I16*Assumptions!$B$13+H16*Assumptions!$B$14+Assumptions!$B$15</f>
        <v/>
      </c>
      <c r="K16" s="21">
        <f>I16-J16</f>
        <v/>
      </c>
    </row>
    <row r="17">
      <c r="A17" s="17" t="n">
        <v>11</v>
      </c>
      <c r="B17" s="18" t="n">
        <v>230</v>
      </c>
      <c r="C17" s="19">
        <f>B17*$B$4</f>
        <v/>
      </c>
      <c r="D17" s="19">
        <f>C17*Assumptions!$B$8</f>
        <v/>
      </c>
      <c r="E17" s="19">
        <f>F16*Assumptions!$B$11</f>
        <v/>
      </c>
      <c r="F17" s="19">
        <f>F16-E17+D17</f>
        <v/>
      </c>
      <c r="G17" s="20">
        <f>F17*Assumptions!$B$7</f>
        <v/>
      </c>
      <c r="H17" s="21">
        <f>C17*Assumptions!$B$6</f>
        <v/>
      </c>
      <c r="I17" s="22">
        <f>G17+H17</f>
        <v/>
      </c>
      <c r="J17" s="21">
        <f>I17*Assumptions!$B$13+H17*Assumptions!$B$14+Assumptions!$B$15</f>
        <v/>
      </c>
      <c r="K17" s="21">
        <f>I17-J17</f>
        <v/>
      </c>
    </row>
    <row r="18">
      <c r="A18" s="17" t="n">
        <v>12</v>
      </c>
      <c r="B18" s="18" t="n">
        <v>240</v>
      </c>
      <c r="C18" s="19">
        <f>B18*$B$4</f>
        <v/>
      </c>
      <c r="D18" s="19">
        <f>C18*Assumptions!$B$8</f>
        <v/>
      </c>
      <c r="E18" s="19">
        <f>F17*Assumptions!$B$11</f>
        <v/>
      </c>
      <c r="F18" s="19">
        <f>F17-E18+D18</f>
        <v/>
      </c>
      <c r="G18" s="20">
        <f>F18*Assumptions!$B$7</f>
        <v/>
      </c>
      <c r="H18" s="21">
        <f>C18*Assumptions!$B$6</f>
        <v/>
      </c>
      <c r="I18" s="22">
        <f>G18+H18</f>
        <v/>
      </c>
      <c r="J18" s="21">
        <f>I18*Assumptions!$B$13+H18*Assumptions!$B$14+Assumptions!$B$15</f>
        <v/>
      </c>
      <c r="K18" s="21">
        <f>I18-J18</f>
        <v/>
      </c>
    </row>
    <row r="19">
      <c r="A19" s="23" t="inlineStr">
        <is>
          <t>YEAR 1</t>
        </is>
      </c>
      <c r="G19" s="24">
        <f>G18</f>
        <v/>
      </c>
      <c r="H19" s="25">
        <f>SUM(H7:H18)</f>
        <v/>
      </c>
      <c r="I19" s="25">
        <f>SUM(I7:I18)</f>
        <v/>
      </c>
      <c r="J19" s="25">
        <f>SUM(J7:J18)</f>
        <v/>
      </c>
      <c r="K19" s="25">
        <f>SUM(K7:K18)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9" customWidth="1" min="3" max="3"/>
    <col width="9" customWidth="1" min="4" max="4"/>
    <col width="9" customWidth="1" min="5" max="5"/>
    <col width="11" customWidth="1" min="6" max="6"/>
    <col width="13" customWidth="1" min="7" max="7"/>
    <col width="11" customWidth="1" min="8" max="8"/>
    <col width="11" customWidth="1" min="9" max="9"/>
    <col width="12" customWidth="1" min="10" max="10"/>
    <col width="11" customWidth="1" min="11" max="11"/>
  </cols>
  <sheetData>
    <row r="1" ht="24" customHeight="1">
      <c r="A1" s="1" t="inlineStr">
        <is>
          <t>Monthly Build-Up — Realistic</t>
        </is>
      </c>
    </row>
    <row r="2">
      <c r="A2" s="2" t="inlineStr">
        <is>
          <t>Leads -&gt; closes -&gt; one-time + new care plans -&gt; CUMULATIVE MRR (compounds) -&gt; total revenue.</t>
        </is>
      </c>
    </row>
    <row r="4">
      <c r="A4" s="15" t="inlineStr">
        <is>
          <t>Close rate (this scenario):</t>
        </is>
      </c>
      <c r="B4" s="16" t="n">
        <v>0.03</v>
      </c>
    </row>
    <row r="6" ht="30" customHeight="1">
      <c r="A6" s="4" t="inlineStr">
        <is>
          <t>Month</t>
        </is>
      </c>
      <c r="B6" s="4" t="inlineStr">
        <is>
          <t>Leads
contacted</t>
        </is>
      </c>
      <c r="C6" s="4" t="inlineStr">
        <is>
          <t>Closes</t>
        </is>
      </c>
      <c r="D6" s="4" t="inlineStr">
        <is>
          <t>New care
plans</t>
        </is>
      </c>
      <c r="E6" s="4" t="inlineStr">
        <is>
          <t>Churned
plans</t>
        </is>
      </c>
      <c r="F6" s="4" t="inlineStr">
        <is>
          <t>Active care
plans</t>
        </is>
      </c>
      <c r="G6" s="4" t="inlineStr">
        <is>
          <t>MRR
(cumulative)</t>
        </is>
      </c>
      <c r="H6" s="4" t="inlineStr">
        <is>
          <t>One-time
revenue</t>
        </is>
      </c>
      <c r="I6" s="4" t="inlineStr">
        <is>
          <t>Total
revenue</t>
        </is>
      </c>
      <c r="J6" s="4" t="inlineStr">
        <is>
          <t>Stripe +
comm cost</t>
        </is>
      </c>
      <c r="K6" s="4" t="inlineStr">
        <is>
          <t>Net
revenue</t>
        </is>
      </c>
    </row>
    <row r="7">
      <c r="A7" s="17" t="n">
        <v>1</v>
      </c>
      <c r="B7" s="18" t="n">
        <v>180</v>
      </c>
      <c r="C7" s="19">
        <f>B7*$B$4</f>
        <v/>
      </c>
      <c r="D7" s="19">
        <f>C7*Assumptions!$B$8</f>
        <v/>
      </c>
      <c r="E7" s="19" t="n">
        <v>0</v>
      </c>
      <c r="F7" s="19">
        <f>D7-E7</f>
        <v/>
      </c>
      <c r="G7" s="20">
        <f>F7*Assumptions!$B$7</f>
        <v/>
      </c>
      <c r="H7" s="21">
        <f>C7*Assumptions!$B$6</f>
        <v/>
      </c>
      <c r="I7" s="22">
        <f>G7+H7</f>
        <v/>
      </c>
      <c r="J7" s="21">
        <f>I7*Assumptions!$B$13+H7*Assumptions!$B$14+Assumptions!$B$15</f>
        <v/>
      </c>
      <c r="K7" s="21">
        <f>I7-J7</f>
        <v/>
      </c>
    </row>
    <row r="8">
      <c r="A8" s="17" t="n">
        <v>2</v>
      </c>
      <c r="B8" s="18" t="n">
        <v>220</v>
      </c>
      <c r="C8" s="19">
        <f>B8*$B$4</f>
        <v/>
      </c>
      <c r="D8" s="19">
        <f>C8*Assumptions!$B$8</f>
        <v/>
      </c>
      <c r="E8" s="19">
        <f>F7*Assumptions!$B$11</f>
        <v/>
      </c>
      <c r="F8" s="19">
        <f>F7-E8+D8</f>
        <v/>
      </c>
      <c r="G8" s="20">
        <f>F8*Assumptions!$B$7</f>
        <v/>
      </c>
      <c r="H8" s="21">
        <f>C8*Assumptions!$B$6</f>
        <v/>
      </c>
      <c r="I8" s="22">
        <f>G8+H8</f>
        <v/>
      </c>
      <c r="J8" s="21">
        <f>I8*Assumptions!$B$13+H8*Assumptions!$B$14+Assumptions!$B$15</f>
        <v/>
      </c>
      <c r="K8" s="21">
        <f>I8-J8</f>
        <v/>
      </c>
    </row>
    <row r="9">
      <c r="A9" s="17" t="n">
        <v>3</v>
      </c>
      <c r="B9" s="18" t="n">
        <v>260</v>
      </c>
      <c r="C9" s="19">
        <f>B9*$B$4</f>
        <v/>
      </c>
      <c r="D9" s="19">
        <f>C9*Assumptions!$B$8</f>
        <v/>
      </c>
      <c r="E9" s="19">
        <f>F8*Assumptions!$B$11</f>
        <v/>
      </c>
      <c r="F9" s="19">
        <f>F8-E9+D9</f>
        <v/>
      </c>
      <c r="G9" s="20">
        <f>F9*Assumptions!$B$7</f>
        <v/>
      </c>
      <c r="H9" s="21">
        <f>C9*Assumptions!$B$6</f>
        <v/>
      </c>
      <c r="I9" s="22">
        <f>G9+H9</f>
        <v/>
      </c>
      <c r="J9" s="21">
        <f>I9*Assumptions!$B$13+H9*Assumptions!$B$14+Assumptions!$B$15</f>
        <v/>
      </c>
      <c r="K9" s="21">
        <f>I9-J9</f>
        <v/>
      </c>
    </row>
    <row r="10">
      <c r="A10" s="17" t="n">
        <v>4</v>
      </c>
      <c r="B10" s="18" t="n">
        <v>300</v>
      </c>
      <c r="C10" s="19">
        <f>B10*$B$4</f>
        <v/>
      </c>
      <c r="D10" s="19">
        <f>C10*Assumptions!$B$8</f>
        <v/>
      </c>
      <c r="E10" s="19">
        <f>F9*Assumptions!$B$11</f>
        <v/>
      </c>
      <c r="F10" s="19">
        <f>F9-E10+D10</f>
        <v/>
      </c>
      <c r="G10" s="20">
        <f>F10*Assumptions!$B$7</f>
        <v/>
      </c>
      <c r="H10" s="21">
        <f>C10*Assumptions!$B$6</f>
        <v/>
      </c>
      <c r="I10" s="22">
        <f>G10+H10</f>
        <v/>
      </c>
      <c r="J10" s="21">
        <f>I10*Assumptions!$B$13+H10*Assumptions!$B$14+Assumptions!$B$15</f>
        <v/>
      </c>
      <c r="K10" s="21">
        <f>I10-J10</f>
        <v/>
      </c>
    </row>
    <row r="11">
      <c r="A11" s="17" t="n">
        <v>5</v>
      </c>
      <c r="B11" s="18" t="n">
        <v>340</v>
      </c>
      <c r="C11" s="19">
        <f>B11*$B$4</f>
        <v/>
      </c>
      <c r="D11" s="19">
        <f>C11*Assumptions!$B$8</f>
        <v/>
      </c>
      <c r="E11" s="19">
        <f>F10*Assumptions!$B$11</f>
        <v/>
      </c>
      <c r="F11" s="19">
        <f>F10-E11+D11</f>
        <v/>
      </c>
      <c r="G11" s="20">
        <f>F11*Assumptions!$B$7</f>
        <v/>
      </c>
      <c r="H11" s="21">
        <f>C11*Assumptions!$B$6</f>
        <v/>
      </c>
      <c r="I11" s="22">
        <f>G11+H11</f>
        <v/>
      </c>
      <c r="J11" s="21">
        <f>I11*Assumptions!$B$13+H11*Assumptions!$B$14+Assumptions!$B$15</f>
        <v/>
      </c>
      <c r="K11" s="21">
        <f>I11-J11</f>
        <v/>
      </c>
    </row>
    <row r="12">
      <c r="A12" s="17" t="n">
        <v>6</v>
      </c>
      <c r="B12" s="18" t="n">
        <v>380</v>
      </c>
      <c r="C12" s="19">
        <f>B12*$B$4</f>
        <v/>
      </c>
      <c r="D12" s="19">
        <f>C12*Assumptions!$B$8</f>
        <v/>
      </c>
      <c r="E12" s="19">
        <f>F11*Assumptions!$B$11</f>
        <v/>
      </c>
      <c r="F12" s="19">
        <f>F11-E12+D12</f>
        <v/>
      </c>
      <c r="G12" s="20">
        <f>F12*Assumptions!$B$7</f>
        <v/>
      </c>
      <c r="H12" s="21">
        <f>C12*Assumptions!$B$6</f>
        <v/>
      </c>
      <c r="I12" s="22">
        <f>G12+H12</f>
        <v/>
      </c>
      <c r="J12" s="21">
        <f>I12*Assumptions!$B$13+H12*Assumptions!$B$14+Assumptions!$B$15</f>
        <v/>
      </c>
      <c r="K12" s="21">
        <f>I12-J12</f>
        <v/>
      </c>
    </row>
    <row r="13">
      <c r="A13" s="17" t="n">
        <v>7</v>
      </c>
      <c r="B13" s="18" t="n">
        <v>420</v>
      </c>
      <c r="C13" s="19">
        <f>B13*$B$4</f>
        <v/>
      </c>
      <c r="D13" s="19">
        <f>C13*Assumptions!$B$8</f>
        <v/>
      </c>
      <c r="E13" s="19">
        <f>F12*Assumptions!$B$11</f>
        <v/>
      </c>
      <c r="F13" s="19">
        <f>F12-E13+D13</f>
        <v/>
      </c>
      <c r="G13" s="20">
        <f>F13*Assumptions!$B$7</f>
        <v/>
      </c>
      <c r="H13" s="21">
        <f>C13*Assumptions!$B$6</f>
        <v/>
      </c>
      <c r="I13" s="22">
        <f>G13+H13</f>
        <v/>
      </c>
      <c r="J13" s="21">
        <f>I13*Assumptions!$B$13+H13*Assumptions!$B$14+Assumptions!$B$15</f>
        <v/>
      </c>
      <c r="K13" s="21">
        <f>I13-J13</f>
        <v/>
      </c>
    </row>
    <row r="14">
      <c r="A14" s="17" t="n">
        <v>8</v>
      </c>
      <c r="B14" s="18" t="n">
        <v>460</v>
      </c>
      <c r="C14" s="19">
        <f>B14*$B$4</f>
        <v/>
      </c>
      <c r="D14" s="19">
        <f>C14*Assumptions!$B$8</f>
        <v/>
      </c>
      <c r="E14" s="19">
        <f>F13*Assumptions!$B$11</f>
        <v/>
      </c>
      <c r="F14" s="19">
        <f>F13-E14+D14</f>
        <v/>
      </c>
      <c r="G14" s="20">
        <f>F14*Assumptions!$B$7</f>
        <v/>
      </c>
      <c r="H14" s="21">
        <f>C14*Assumptions!$B$6</f>
        <v/>
      </c>
      <c r="I14" s="22">
        <f>G14+H14</f>
        <v/>
      </c>
      <c r="J14" s="21">
        <f>I14*Assumptions!$B$13+H14*Assumptions!$B$14+Assumptions!$B$15</f>
        <v/>
      </c>
      <c r="K14" s="21">
        <f>I14-J14</f>
        <v/>
      </c>
    </row>
    <row r="15">
      <c r="A15" s="17" t="n">
        <v>9</v>
      </c>
      <c r="B15" s="18" t="n">
        <v>500</v>
      </c>
      <c r="C15" s="19">
        <f>B15*$B$4</f>
        <v/>
      </c>
      <c r="D15" s="19">
        <f>C15*Assumptions!$B$8</f>
        <v/>
      </c>
      <c r="E15" s="19">
        <f>F14*Assumptions!$B$11</f>
        <v/>
      </c>
      <c r="F15" s="19">
        <f>F14-E15+D15</f>
        <v/>
      </c>
      <c r="G15" s="20">
        <f>F15*Assumptions!$B$7</f>
        <v/>
      </c>
      <c r="H15" s="21">
        <f>C15*Assumptions!$B$6</f>
        <v/>
      </c>
      <c r="I15" s="22">
        <f>G15+H15</f>
        <v/>
      </c>
      <c r="J15" s="21">
        <f>I15*Assumptions!$B$13+H15*Assumptions!$B$14+Assumptions!$B$15</f>
        <v/>
      </c>
      <c r="K15" s="21">
        <f>I15-J15</f>
        <v/>
      </c>
    </row>
    <row r="16">
      <c r="A16" s="17" t="n">
        <v>10</v>
      </c>
      <c r="B16" s="18" t="n">
        <v>540</v>
      </c>
      <c r="C16" s="19">
        <f>B16*$B$4</f>
        <v/>
      </c>
      <c r="D16" s="19">
        <f>C16*Assumptions!$B$8</f>
        <v/>
      </c>
      <c r="E16" s="19">
        <f>F15*Assumptions!$B$11</f>
        <v/>
      </c>
      <c r="F16" s="19">
        <f>F15-E16+D16</f>
        <v/>
      </c>
      <c r="G16" s="20">
        <f>F16*Assumptions!$B$7</f>
        <v/>
      </c>
      <c r="H16" s="21">
        <f>C16*Assumptions!$B$6</f>
        <v/>
      </c>
      <c r="I16" s="22">
        <f>G16+H16</f>
        <v/>
      </c>
      <c r="J16" s="21">
        <f>I16*Assumptions!$B$13+H16*Assumptions!$B$14+Assumptions!$B$15</f>
        <v/>
      </c>
      <c r="K16" s="21">
        <f>I16-J16</f>
        <v/>
      </c>
    </row>
    <row r="17">
      <c r="A17" s="17" t="n">
        <v>11</v>
      </c>
      <c r="B17" s="18" t="n">
        <v>580</v>
      </c>
      <c r="C17" s="19">
        <f>B17*$B$4</f>
        <v/>
      </c>
      <c r="D17" s="19">
        <f>C17*Assumptions!$B$8</f>
        <v/>
      </c>
      <c r="E17" s="19">
        <f>F16*Assumptions!$B$11</f>
        <v/>
      </c>
      <c r="F17" s="19">
        <f>F16-E17+D17</f>
        <v/>
      </c>
      <c r="G17" s="20">
        <f>F17*Assumptions!$B$7</f>
        <v/>
      </c>
      <c r="H17" s="21">
        <f>C17*Assumptions!$B$6</f>
        <v/>
      </c>
      <c r="I17" s="22">
        <f>G17+H17</f>
        <v/>
      </c>
      <c r="J17" s="21">
        <f>I17*Assumptions!$B$13+H17*Assumptions!$B$14+Assumptions!$B$15</f>
        <v/>
      </c>
      <c r="K17" s="21">
        <f>I17-J17</f>
        <v/>
      </c>
    </row>
    <row r="18">
      <c r="A18" s="17" t="n">
        <v>12</v>
      </c>
      <c r="B18" s="18" t="n">
        <v>620</v>
      </c>
      <c r="C18" s="19">
        <f>B18*$B$4</f>
        <v/>
      </c>
      <c r="D18" s="19">
        <f>C18*Assumptions!$B$8</f>
        <v/>
      </c>
      <c r="E18" s="19">
        <f>F17*Assumptions!$B$11</f>
        <v/>
      </c>
      <c r="F18" s="19">
        <f>F17-E18+D18</f>
        <v/>
      </c>
      <c r="G18" s="20">
        <f>F18*Assumptions!$B$7</f>
        <v/>
      </c>
      <c r="H18" s="21">
        <f>C18*Assumptions!$B$6</f>
        <v/>
      </c>
      <c r="I18" s="22">
        <f>G18+H18</f>
        <v/>
      </c>
      <c r="J18" s="21">
        <f>I18*Assumptions!$B$13+H18*Assumptions!$B$14+Assumptions!$B$15</f>
        <v/>
      </c>
      <c r="K18" s="21">
        <f>I18-J18</f>
        <v/>
      </c>
    </row>
    <row r="19">
      <c r="A19" s="23" t="inlineStr">
        <is>
          <t>YEAR 1</t>
        </is>
      </c>
      <c r="G19" s="24">
        <f>G18</f>
        <v/>
      </c>
      <c r="H19" s="25">
        <f>SUM(H7:H18)</f>
        <v/>
      </c>
      <c r="I19" s="25">
        <f>SUM(I7:I18)</f>
        <v/>
      </c>
      <c r="J19" s="25">
        <f>SUM(J7:J18)</f>
        <v/>
      </c>
      <c r="K19" s="25">
        <f>SUM(K7:K18)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9" customWidth="1" min="3" max="3"/>
    <col width="9" customWidth="1" min="4" max="4"/>
    <col width="9" customWidth="1" min="5" max="5"/>
    <col width="11" customWidth="1" min="6" max="6"/>
    <col width="13" customWidth="1" min="7" max="7"/>
    <col width="11" customWidth="1" min="8" max="8"/>
    <col width="11" customWidth="1" min="9" max="9"/>
    <col width="12" customWidth="1" min="10" max="10"/>
    <col width="11" customWidth="1" min="11" max="11"/>
  </cols>
  <sheetData>
    <row r="1" ht="24" customHeight="1">
      <c r="A1" s="1" t="inlineStr">
        <is>
          <t>Monthly Build-Up — Optimistic</t>
        </is>
      </c>
    </row>
    <row r="2">
      <c r="A2" s="2" t="inlineStr">
        <is>
          <t>Leads -&gt; closes -&gt; one-time + new care plans -&gt; CUMULATIVE MRR (compounds) -&gt; total revenue.</t>
        </is>
      </c>
    </row>
    <row r="4">
      <c r="A4" s="15" t="inlineStr">
        <is>
          <t>Close rate (this scenario):</t>
        </is>
      </c>
      <c r="B4" s="16" t="n">
        <v>0.035</v>
      </c>
    </row>
    <row r="6" ht="30" customHeight="1">
      <c r="A6" s="4" t="inlineStr">
        <is>
          <t>Month</t>
        </is>
      </c>
      <c r="B6" s="4" t="inlineStr">
        <is>
          <t>Leads
contacted</t>
        </is>
      </c>
      <c r="C6" s="4" t="inlineStr">
        <is>
          <t>Closes</t>
        </is>
      </c>
      <c r="D6" s="4" t="inlineStr">
        <is>
          <t>New care
plans</t>
        </is>
      </c>
      <c r="E6" s="4" t="inlineStr">
        <is>
          <t>Churned
plans</t>
        </is>
      </c>
      <c r="F6" s="4" t="inlineStr">
        <is>
          <t>Active care
plans</t>
        </is>
      </c>
      <c r="G6" s="4" t="inlineStr">
        <is>
          <t>MRR
(cumulative)</t>
        </is>
      </c>
      <c r="H6" s="4" t="inlineStr">
        <is>
          <t>One-time
revenue</t>
        </is>
      </c>
      <c r="I6" s="4" t="inlineStr">
        <is>
          <t>Total
revenue</t>
        </is>
      </c>
      <c r="J6" s="4" t="inlineStr">
        <is>
          <t>Stripe +
comm cost</t>
        </is>
      </c>
      <c r="K6" s="4" t="inlineStr">
        <is>
          <t>Net
revenue</t>
        </is>
      </c>
    </row>
    <row r="7">
      <c r="A7" s="17" t="n">
        <v>1</v>
      </c>
      <c r="B7" s="18" t="n">
        <v>250</v>
      </c>
      <c r="C7" s="19">
        <f>B7*$B$4</f>
        <v/>
      </c>
      <c r="D7" s="19">
        <f>C7*Assumptions!$B$8</f>
        <v/>
      </c>
      <c r="E7" s="19" t="n">
        <v>0</v>
      </c>
      <c r="F7" s="19">
        <f>D7-E7</f>
        <v/>
      </c>
      <c r="G7" s="20">
        <f>F7*Assumptions!$B$7</f>
        <v/>
      </c>
      <c r="H7" s="21">
        <f>C7*Assumptions!$B$6</f>
        <v/>
      </c>
      <c r="I7" s="22">
        <f>G7+H7</f>
        <v/>
      </c>
      <c r="J7" s="21">
        <f>I7*Assumptions!$B$13+H7*Assumptions!$B$14+Assumptions!$B$15</f>
        <v/>
      </c>
      <c r="K7" s="21">
        <f>I7-J7</f>
        <v/>
      </c>
    </row>
    <row r="8">
      <c r="A8" s="17" t="n">
        <v>2</v>
      </c>
      <c r="B8" s="18" t="n">
        <v>320</v>
      </c>
      <c r="C8" s="19">
        <f>B8*$B$4</f>
        <v/>
      </c>
      <c r="D8" s="19">
        <f>C8*Assumptions!$B$8</f>
        <v/>
      </c>
      <c r="E8" s="19">
        <f>F7*Assumptions!$B$11</f>
        <v/>
      </c>
      <c r="F8" s="19">
        <f>F7-E8+D8</f>
        <v/>
      </c>
      <c r="G8" s="20">
        <f>F8*Assumptions!$B$7</f>
        <v/>
      </c>
      <c r="H8" s="21">
        <f>C8*Assumptions!$B$6</f>
        <v/>
      </c>
      <c r="I8" s="22">
        <f>G8+H8</f>
        <v/>
      </c>
      <c r="J8" s="21">
        <f>I8*Assumptions!$B$13+H8*Assumptions!$B$14+Assumptions!$B$15</f>
        <v/>
      </c>
      <c r="K8" s="21">
        <f>I8-J8</f>
        <v/>
      </c>
    </row>
    <row r="9">
      <c r="A9" s="17" t="n">
        <v>3</v>
      </c>
      <c r="B9" s="18" t="n">
        <v>400</v>
      </c>
      <c r="C9" s="19">
        <f>B9*$B$4</f>
        <v/>
      </c>
      <c r="D9" s="19">
        <f>C9*Assumptions!$B$8</f>
        <v/>
      </c>
      <c r="E9" s="19">
        <f>F8*Assumptions!$B$11</f>
        <v/>
      </c>
      <c r="F9" s="19">
        <f>F8-E9+D9</f>
        <v/>
      </c>
      <c r="G9" s="20">
        <f>F9*Assumptions!$B$7</f>
        <v/>
      </c>
      <c r="H9" s="21">
        <f>C9*Assumptions!$B$6</f>
        <v/>
      </c>
      <c r="I9" s="22">
        <f>G9+H9</f>
        <v/>
      </c>
      <c r="J9" s="21">
        <f>I9*Assumptions!$B$13+H9*Assumptions!$B$14+Assumptions!$B$15</f>
        <v/>
      </c>
      <c r="K9" s="21">
        <f>I9-J9</f>
        <v/>
      </c>
    </row>
    <row r="10">
      <c r="A10" s="17" t="n">
        <v>4</v>
      </c>
      <c r="B10" s="18" t="n">
        <v>480</v>
      </c>
      <c r="C10" s="19">
        <f>B10*$B$4</f>
        <v/>
      </c>
      <c r="D10" s="19">
        <f>C10*Assumptions!$B$8</f>
        <v/>
      </c>
      <c r="E10" s="19">
        <f>F9*Assumptions!$B$11</f>
        <v/>
      </c>
      <c r="F10" s="19">
        <f>F9-E10+D10</f>
        <v/>
      </c>
      <c r="G10" s="20">
        <f>F10*Assumptions!$B$7</f>
        <v/>
      </c>
      <c r="H10" s="21">
        <f>C10*Assumptions!$B$6</f>
        <v/>
      </c>
      <c r="I10" s="22">
        <f>G10+H10</f>
        <v/>
      </c>
      <c r="J10" s="21">
        <f>I10*Assumptions!$B$13+H10*Assumptions!$B$14+Assumptions!$B$15</f>
        <v/>
      </c>
      <c r="K10" s="21">
        <f>I10-J10</f>
        <v/>
      </c>
    </row>
    <row r="11">
      <c r="A11" s="17" t="n">
        <v>5</v>
      </c>
      <c r="B11" s="18" t="n">
        <v>560</v>
      </c>
      <c r="C11" s="19">
        <f>B11*$B$4</f>
        <v/>
      </c>
      <c r="D11" s="19">
        <f>C11*Assumptions!$B$8</f>
        <v/>
      </c>
      <c r="E11" s="19">
        <f>F10*Assumptions!$B$11</f>
        <v/>
      </c>
      <c r="F11" s="19">
        <f>F10-E11+D11</f>
        <v/>
      </c>
      <c r="G11" s="20">
        <f>F11*Assumptions!$B$7</f>
        <v/>
      </c>
      <c r="H11" s="21">
        <f>C11*Assumptions!$B$6</f>
        <v/>
      </c>
      <c r="I11" s="22">
        <f>G11+H11</f>
        <v/>
      </c>
      <c r="J11" s="21">
        <f>I11*Assumptions!$B$13+H11*Assumptions!$B$14+Assumptions!$B$15</f>
        <v/>
      </c>
      <c r="K11" s="21">
        <f>I11-J11</f>
        <v/>
      </c>
    </row>
    <row r="12">
      <c r="A12" s="17" t="n">
        <v>6</v>
      </c>
      <c r="B12" s="18" t="n">
        <v>640</v>
      </c>
      <c r="C12" s="19">
        <f>B12*$B$4</f>
        <v/>
      </c>
      <c r="D12" s="19">
        <f>C12*Assumptions!$B$8</f>
        <v/>
      </c>
      <c r="E12" s="19">
        <f>F11*Assumptions!$B$11</f>
        <v/>
      </c>
      <c r="F12" s="19">
        <f>F11-E12+D12</f>
        <v/>
      </c>
      <c r="G12" s="20">
        <f>F12*Assumptions!$B$7</f>
        <v/>
      </c>
      <c r="H12" s="21">
        <f>C12*Assumptions!$B$6</f>
        <v/>
      </c>
      <c r="I12" s="22">
        <f>G12+H12</f>
        <v/>
      </c>
      <c r="J12" s="21">
        <f>I12*Assumptions!$B$13+H12*Assumptions!$B$14+Assumptions!$B$15</f>
        <v/>
      </c>
      <c r="K12" s="21">
        <f>I12-J12</f>
        <v/>
      </c>
    </row>
    <row r="13">
      <c r="A13" s="17" t="n">
        <v>7</v>
      </c>
      <c r="B13" s="18" t="n">
        <v>720</v>
      </c>
      <c r="C13" s="19">
        <f>B13*$B$4</f>
        <v/>
      </c>
      <c r="D13" s="19">
        <f>C13*Assumptions!$B$8</f>
        <v/>
      </c>
      <c r="E13" s="19">
        <f>F12*Assumptions!$B$11</f>
        <v/>
      </c>
      <c r="F13" s="19">
        <f>F12-E13+D13</f>
        <v/>
      </c>
      <c r="G13" s="20">
        <f>F13*Assumptions!$B$7</f>
        <v/>
      </c>
      <c r="H13" s="21">
        <f>C13*Assumptions!$B$6</f>
        <v/>
      </c>
      <c r="I13" s="22">
        <f>G13+H13</f>
        <v/>
      </c>
      <c r="J13" s="21">
        <f>I13*Assumptions!$B$13+H13*Assumptions!$B$14+Assumptions!$B$15</f>
        <v/>
      </c>
      <c r="K13" s="21">
        <f>I13-J13</f>
        <v/>
      </c>
    </row>
    <row r="14">
      <c r="A14" s="17" t="n">
        <v>8</v>
      </c>
      <c r="B14" s="18" t="n">
        <v>820</v>
      </c>
      <c r="C14" s="19">
        <f>B14*$B$4</f>
        <v/>
      </c>
      <c r="D14" s="19">
        <f>C14*Assumptions!$B$8</f>
        <v/>
      </c>
      <c r="E14" s="19">
        <f>F13*Assumptions!$B$11</f>
        <v/>
      </c>
      <c r="F14" s="19">
        <f>F13-E14+D14</f>
        <v/>
      </c>
      <c r="G14" s="20">
        <f>F14*Assumptions!$B$7</f>
        <v/>
      </c>
      <c r="H14" s="21">
        <f>C14*Assumptions!$B$6</f>
        <v/>
      </c>
      <c r="I14" s="22">
        <f>G14+H14</f>
        <v/>
      </c>
      <c r="J14" s="21">
        <f>I14*Assumptions!$B$13+H14*Assumptions!$B$14+Assumptions!$B$15</f>
        <v/>
      </c>
      <c r="K14" s="21">
        <f>I14-J14</f>
        <v/>
      </c>
    </row>
    <row r="15">
      <c r="A15" s="17" t="n">
        <v>9</v>
      </c>
      <c r="B15" s="18" t="n">
        <v>920</v>
      </c>
      <c r="C15" s="19">
        <f>B15*$B$4</f>
        <v/>
      </c>
      <c r="D15" s="19">
        <f>C15*Assumptions!$B$8</f>
        <v/>
      </c>
      <c r="E15" s="19">
        <f>F14*Assumptions!$B$11</f>
        <v/>
      </c>
      <c r="F15" s="19">
        <f>F14-E15+D15</f>
        <v/>
      </c>
      <c r="G15" s="20">
        <f>F15*Assumptions!$B$7</f>
        <v/>
      </c>
      <c r="H15" s="21">
        <f>C15*Assumptions!$B$6</f>
        <v/>
      </c>
      <c r="I15" s="22">
        <f>G15+H15</f>
        <v/>
      </c>
      <c r="J15" s="21">
        <f>I15*Assumptions!$B$13+H15*Assumptions!$B$14+Assumptions!$B$15</f>
        <v/>
      </c>
      <c r="K15" s="21">
        <f>I15-J15</f>
        <v/>
      </c>
    </row>
    <row r="16">
      <c r="A16" s="17" t="n">
        <v>10</v>
      </c>
      <c r="B16" s="18" t="n">
        <v>1020</v>
      </c>
      <c r="C16" s="19">
        <f>B16*$B$4</f>
        <v/>
      </c>
      <c r="D16" s="19">
        <f>C16*Assumptions!$B$8</f>
        <v/>
      </c>
      <c r="E16" s="19">
        <f>F15*Assumptions!$B$11</f>
        <v/>
      </c>
      <c r="F16" s="19">
        <f>F15-E16+D16</f>
        <v/>
      </c>
      <c r="G16" s="20">
        <f>F16*Assumptions!$B$7</f>
        <v/>
      </c>
      <c r="H16" s="21">
        <f>C16*Assumptions!$B$6</f>
        <v/>
      </c>
      <c r="I16" s="22">
        <f>G16+H16</f>
        <v/>
      </c>
      <c r="J16" s="21">
        <f>I16*Assumptions!$B$13+H16*Assumptions!$B$14+Assumptions!$B$15</f>
        <v/>
      </c>
      <c r="K16" s="21">
        <f>I16-J16</f>
        <v/>
      </c>
    </row>
    <row r="17">
      <c r="A17" s="17" t="n">
        <v>11</v>
      </c>
      <c r="B17" s="18" t="n">
        <v>1120</v>
      </c>
      <c r="C17" s="19">
        <f>B17*$B$4</f>
        <v/>
      </c>
      <c r="D17" s="19">
        <f>C17*Assumptions!$B$8</f>
        <v/>
      </c>
      <c r="E17" s="19">
        <f>F16*Assumptions!$B$11</f>
        <v/>
      </c>
      <c r="F17" s="19">
        <f>F16-E17+D17</f>
        <v/>
      </c>
      <c r="G17" s="20">
        <f>F17*Assumptions!$B$7</f>
        <v/>
      </c>
      <c r="H17" s="21">
        <f>C17*Assumptions!$B$6</f>
        <v/>
      </c>
      <c r="I17" s="22">
        <f>G17+H17</f>
        <v/>
      </c>
      <c r="J17" s="21">
        <f>I17*Assumptions!$B$13+H17*Assumptions!$B$14+Assumptions!$B$15</f>
        <v/>
      </c>
      <c r="K17" s="21">
        <f>I17-J17</f>
        <v/>
      </c>
    </row>
    <row r="18">
      <c r="A18" s="17" t="n">
        <v>12</v>
      </c>
      <c r="B18" s="18" t="n">
        <v>1220</v>
      </c>
      <c r="C18" s="19">
        <f>B18*$B$4</f>
        <v/>
      </c>
      <c r="D18" s="19">
        <f>C18*Assumptions!$B$8</f>
        <v/>
      </c>
      <c r="E18" s="19">
        <f>F17*Assumptions!$B$11</f>
        <v/>
      </c>
      <c r="F18" s="19">
        <f>F17-E18+D18</f>
        <v/>
      </c>
      <c r="G18" s="20">
        <f>F18*Assumptions!$B$7</f>
        <v/>
      </c>
      <c r="H18" s="21">
        <f>C18*Assumptions!$B$6</f>
        <v/>
      </c>
      <c r="I18" s="22">
        <f>G18+H18</f>
        <v/>
      </c>
      <c r="J18" s="21">
        <f>I18*Assumptions!$B$13+H18*Assumptions!$B$14+Assumptions!$B$15</f>
        <v/>
      </c>
      <c r="K18" s="21">
        <f>I18-J18</f>
        <v/>
      </c>
    </row>
    <row r="19">
      <c r="A19" s="23" t="inlineStr">
        <is>
          <t>YEAR 1</t>
        </is>
      </c>
      <c r="G19" s="24">
        <f>G18</f>
        <v/>
      </c>
      <c r="H19" s="25">
        <f>SUM(H7:H18)</f>
        <v/>
      </c>
      <c r="I19" s="25">
        <f>SUM(I7:I18)</f>
        <v/>
      </c>
      <c r="J19" s="25">
        <f>SUM(J7:J18)</f>
        <v/>
      </c>
      <c r="K19" s="25">
        <f>SUM(K7:K18)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</cols>
  <sheetData>
    <row r="1" ht="24" customHeight="1">
      <c r="A1" s="1" t="inlineStr">
        <is>
          <t>The MRR Engine — How $49/mo Stacks Into Passive Income</t>
        </is>
      </c>
    </row>
    <row r="2">
      <c r="A2" s="2" t="inlineStr">
        <is>
          <t>Every closed client who takes the care plan adds $49/mo that recurs with little ongoing work.</t>
        </is>
      </c>
    </row>
    <row r="4">
      <c r="A4" s="26" t="inlineStr">
        <is>
          <t>Active care plans</t>
        </is>
      </c>
      <c r="B4" s="26" t="inlineStr">
        <is>
          <t>Monthly recurring revenue</t>
        </is>
      </c>
      <c r="C4" s="26" t="inlineStr">
        <is>
          <t>Milestone</t>
        </is>
      </c>
    </row>
    <row r="5">
      <c r="A5" s="17" t="n">
        <v>10</v>
      </c>
      <c r="B5" s="21">
        <f>A5*Assumptions!$B$7</f>
        <v/>
      </c>
      <c r="C5" s="27" t="inlineStr"/>
    </row>
    <row r="6">
      <c r="A6" s="17" t="n">
        <v>25</v>
      </c>
      <c r="B6" s="21">
        <f>A6*Assumptions!$B$7</f>
        <v/>
      </c>
      <c r="C6" s="27" t="inlineStr"/>
    </row>
    <row r="7">
      <c r="A7" s="17" t="n">
        <v>50</v>
      </c>
      <c r="B7" s="21">
        <f>A7*Assumptions!$B$7</f>
        <v/>
      </c>
      <c r="C7" s="27" t="inlineStr"/>
    </row>
    <row r="8">
      <c r="A8" s="17" t="n">
        <v>75</v>
      </c>
      <c r="B8" s="21">
        <f>A8*Assumptions!$B$7</f>
        <v/>
      </c>
      <c r="C8" s="27" t="inlineStr"/>
    </row>
    <row r="9">
      <c r="A9" s="28" t="n">
        <v>100</v>
      </c>
      <c r="B9" s="20">
        <f>A9*Assumptions!$B$7</f>
        <v/>
      </c>
      <c r="C9" s="29" t="inlineStr">
        <is>
          <t>≈ $5k/mo target</t>
        </is>
      </c>
    </row>
    <row r="10">
      <c r="A10" s="17" t="n">
        <v>150</v>
      </c>
      <c r="B10" s="21">
        <f>A10*Assumptions!$B$7</f>
        <v/>
      </c>
      <c r="C10" s="27" t="inlineStr"/>
    </row>
    <row r="11">
      <c r="A11" s="17" t="n">
        <v>200</v>
      </c>
      <c r="B11" s="21">
        <f>A11*Assumptions!$B$7</f>
        <v/>
      </c>
      <c r="C11" s="27" t="inlineStr"/>
    </row>
    <row r="12">
      <c r="A12" s="17" t="n">
        <v>300</v>
      </c>
      <c r="B12" s="21">
        <f>A12*Assumptions!$B$7</f>
        <v/>
      </c>
      <c r="C12" s="27" t="inlineStr"/>
    </row>
    <row r="13">
      <c r="A13" s="28" t="n">
        <v>408</v>
      </c>
      <c r="B13" s="20">
        <f>A13*Assumptions!$B$7</f>
        <v/>
      </c>
      <c r="C13" s="29" t="inlineStr">
        <is>
          <t>≈ $20k/mo target</t>
        </is>
      </c>
    </row>
    <row r="15">
      <c r="A15" s="30" t="inlineStr">
        <is>
          <t>At ~40% attach, every ~2.5 closed builds adds one care plan. The care book is the asset; one-time fees fund growth.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</cols>
  <sheetData>
    <row r="1" ht="24" customHeight="1">
      <c r="A1" s="1" t="inlineStr">
        <is>
          <t>Hire Break-Evens — When Each Role Pays for Itself</t>
        </is>
      </c>
    </row>
    <row r="2">
      <c r="A2" s="2" t="inlineStr">
        <is>
          <t>A hire is justified the moment the revenue they unlock exceeds their cost.</t>
        </is>
      </c>
    </row>
    <row r="4">
      <c r="A4" s="31" t="inlineStr">
        <is>
          <t>VIRTUAL ASSISTANT ($400-800/mo)</t>
        </is>
      </c>
    </row>
    <row r="5">
      <c r="A5" s="12" t="inlineStr">
        <is>
          <t>VA monthly cost:</t>
        </is>
      </c>
      <c r="B5" s="32">
        <f>Assumptions!$B$15</f>
        <v/>
      </c>
    </row>
    <row r="6">
      <c r="A6" s="12" t="inlineStr">
        <is>
          <t>Gross profit per build (after Stripe+comm):</t>
        </is>
      </c>
      <c r="B6" s="32">
        <f>Assumptions!$B$6*(1-Assumptions!$B$13-Assumptions!$B$14)</f>
        <v/>
      </c>
    </row>
    <row r="7">
      <c r="A7" s="15" t="inlineStr">
        <is>
          <t>Builds/mo the VA must enable to break even:</t>
        </is>
      </c>
      <c r="B7" s="33">
        <f>B5/B6</f>
        <v/>
      </c>
    </row>
    <row r="8">
      <c r="A8" s="12" t="inlineStr">
        <is>
          <t>...or in recurring care plans alone:</t>
        </is>
      </c>
      <c r="B8" s="34">
        <f>B5/Assumptions!$B$7</f>
        <v/>
      </c>
    </row>
    <row r="9">
      <c r="A9" s="30" t="inlineStr">
        <is>
          <t>A VA pays for itself by enabling ~1 extra build OR ~12 active care plans per month.</t>
        </is>
      </c>
    </row>
    <row r="11">
      <c r="A11" s="31" t="inlineStr">
        <is>
          <t>CLOSER (10-20% commission, performance-based)</t>
        </is>
      </c>
    </row>
    <row r="12">
      <c r="A12" s="12" t="inlineStr">
        <is>
          <t>Commission rate:</t>
        </is>
      </c>
      <c r="B12" s="35">
        <f>Assumptions!$B$14</f>
        <v/>
      </c>
    </row>
    <row r="13">
      <c r="A13" s="12" t="inlineStr">
        <is>
          <t>Cost per closed build (commission):</t>
        </is>
      </c>
      <c r="B13" s="32">
        <f>Assumptions!$B$6*Assumptions!$B$14</f>
        <v/>
      </c>
    </row>
    <row r="14">
      <c r="A14" s="15" t="inlineStr">
        <is>
          <t>Net to Peak 11 per build the closer brings:</t>
        </is>
      </c>
      <c r="B14" s="36">
        <f>Assumptions!$B$6*(1-Assumptions!$B$14-Assumptions!$B$13)</f>
        <v/>
      </c>
    </row>
    <row r="15">
      <c r="A15" s="30" t="inlineStr">
        <is>
          <t>Break-even: closer is self-funding from the FIRST close (paid only on results).</t>
        </is>
      </c>
    </row>
    <row r="16">
      <c r="A16" s="30" t="inlineStr">
        <is>
          <t>Plus every build the closer lands seeds a recurring care plan at ~40% attach — pure upside.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</cols>
  <sheetData>
    <row r="1" ht="24" customHeight="1">
      <c r="A1" s="1" t="inlineStr">
        <is>
          <t>Headline — Timeline to $5k/mo and $20k/mo</t>
        </is>
      </c>
    </row>
    <row r="2">
      <c r="A2" s="2" t="inlineStr">
        <is>
          <t>Realistic path, with conservative and optimistic brackets.</t>
        </is>
      </c>
    </row>
    <row r="4" ht="30" customHeight="1">
      <c r="A4" s="4" t="inlineStr">
        <is>
          <t>Scenario</t>
        </is>
      </c>
      <c r="B4" s="4" t="inlineStr">
        <is>
          <t>Close
rate</t>
        </is>
      </c>
      <c r="C4" s="4" t="inlineStr">
        <is>
          <t>Month to
$5k/mo total</t>
        </is>
      </c>
      <c r="D4" s="4" t="inlineStr">
        <is>
          <t>Month to
$20k/mo total</t>
        </is>
      </c>
      <c r="E4" s="4" t="inlineStr">
        <is>
          <t>Month to
$5k MRR</t>
        </is>
      </c>
      <c r="F4" s="4" t="inlineStr">
        <is>
          <t>Active plans
@ month 12</t>
        </is>
      </c>
      <c r="G4" s="4" t="inlineStr">
        <is>
          <t>MRR
@ month 12</t>
        </is>
      </c>
      <c r="H4" s="4" t="inlineStr">
        <is>
          <t>Year-1
total rev</t>
        </is>
      </c>
    </row>
    <row r="5">
      <c r="A5" s="17" t="inlineStr">
        <is>
          <t>Conservative</t>
        </is>
      </c>
      <c r="B5" s="37" t="n">
        <v>0.025</v>
      </c>
      <c r="C5" s="17" t="n">
        <v>7</v>
      </c>
      <c r="D5" s="17" t="inlineStr">
        <is>
          <t>12+</t>
        </is>
      </c>
      <c r="E5" s="17" t="inlineStr">
        <is>
          <t>12+</t>
        </is>
      </c>
      <c r="F5" s="17" t="n">
        <v>19</v>
      </c>
      <c r="G5" s="21" t="n">
        <v>940</v>
      </c>
      <c r="H5" s="21" t="n">
        <v>63725</v>
      </c>
    </row>
    <row r="6">
      <c r="A6" s="38" t="inlineStr">
        <is>
          <t>Realistic</t>
        </is>
      </c>
      <c r="B6" s="39" t="n">
        <v>0.03</v>
      </c>
      <c r="C6" s="38" t="n">
        <v>1</v>
      </c>
      <c r="D6" s="38" t="n">
        <v>12</v>
      </c>
      <c r="E6" s="38" t="inlineStr">
        <is>
          <t>12+</t>
        </is>
      </c>
      <c r="F6" s="38" t="n">
        <v>51</v>
      </c>
      <c r="G6" s="40" t="n">
        <v>2487</v>
      </c>
      <c r="H6" s="40" t="n">
        <v>164860</v>
      </c>
    </row>
    <row r="7">
      <c r="A7" s="17" t="inlineStr">
        <is>
          <t>Optimistic</t>
        </is>
      </c>
      <c r="B7" s="37" t="n">
        <v>0.035</v>
      </c>
      <c r="C7" s="17" t="n">
        <v>1</v>
      </c>
      <c r="D7" s="17" t="n">
        <v>6</v>
      </c>
      <c r="E7" s="17" t="n">
        <v>12</v>
      </c>
      <c r="F7" s="17" t="n">
        <v>105</v>
      </c>
      <c r="G7" s="21" t="n">
        <v>5166</v>
      </c>
      <c r="H7" s="21" t="n">
        <v>337918</v>
      </c>
    </row>
    <row r="9">
      <c r="A9" s="3" t="inlineStr">
        <is>
          <t>THE ANSWER (Realistic)</t>
        </is>
      </c>
    </row>
    <row r="10">
      <c r="A10" s="12" t="inlineStr">
        <is>
          <t>•  $5k/mo sustained total revenue: ~month 1.  $20k/mo sustained: ~month 12.</t>
        </is>
      </c>
    </row>
    <row r="11">
      <c r="A11" s="12" t="inlineStr">
        <is>
          <t>•  To hold $5k/mo you need ~5 closes/mo (~180 leads contacted) plus a compounding care book.</t>
        </is>
      </c>
    </row>
    <row r="12">
      <c r="A12" s="12" t="inlineStr">
        <is>
          <t>•  $5k of PURE recurring MRR = ~102 active care plans; $20k MRR = ~408 plans.</t>
        </is>
      </c>
    </row>
    <row r="13">
      <c r="A13" s="12" t="inlineStr">
        <is>
          <t>•  Headcount: solo to $5k/mo; add a VA (lead-gen) and a commission closer to push toward $20k/mo.</t>
        </is>
      </c>
    </row>
    <row r="14">
      <c r="A14" s="12" t="inlineStr">
        <is>
          <t>•  The compounding care plans are what turn this from a hustle into a passive, sellable asset.</t>
        </is>
      </c>
    </row>
  </sheetData>
  <mergeCells count="7">
    <mergeCell ref="A12:H12"/>
    <mergeCell ref="A2:F2"/>
    <mergeCell ref="A1:F1"/>
    <mergeCell ref="A10:H10"/>
    <mergeCell ref="A13:H13"/>
    <mergeCell ref="A11:H11"/>
    <mergeCell ref="A14:H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2026-06-17T10:13:42Z</dcterms:created>
  <dcterms:modified xmlns:dcterms="http://purl.org/dc/terms/" xmlns:xsi="http://www.w3.org/2001/XMLSchema-instance" xsi:type="dcterms:W3CDTF">2026-06-17T10:13:42Z</dcterms:modified>
</cp:coreProperties>
</file>